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yoshipc/Documents/GitHub/excel-vba-main/"/>
    </mc:Choice>
  </mc:AlternateContent>
  <xr:revisionPtr revIDLastSave="0" documentId="8_{70E28EE5-D505-9D4D-A587-BCF253AADA20}" xr6:coauthVersionLast="47" xr6:coauthVersionMax="47" xr10:uidLastSave="{00000000-0000-0000-0000-000000000000}"/>
  <bookViews>
    <workbookView xWindow="0" yWindow="740" windowWidth="29400" windowHeight="18380" xr2:uid="{0A4A36B5-9A73-46DD-BE0A-97BABA66D599}"/>
  </bookViews>
  <sheets>
    <sheet name="設定" sheetId="1" r:id="rId1"/>
    <sheet name="返戻管理" sheetId="2" r:id="rId2"/>
    <sheet name="入力訂正" sheetId="28" r:id="rId3"/>
    <sheet name="R6.3" sheetId="3" r:id="rId4"/>
    <sheet name="③" sheetId="4" r:id="rId5"/>
    <sheet name="R6.4" sheetId="5" r:id="rId6"/>
    <sheet name="④" sheetId="6" r:id="rId7"/>
    <sheet name="R6.5" sheetId="7" r:id="rId8"/>
    <sheet name="⑤" sheetId="8" r:id="rId9"/>
    <sheet name="R6.6" sheetId="9" r:id="rId10"/>
    <sheet name="⑥" sheetId="10" r:id="rId11"/>
    <sheet name="R6.7" sheetId="11" r:id="rId12"/>
    <sheet name="⑦" sheetId="12" r:id="rId13"/>
    <sheet name="R6.8" sheetId="13" r:id="rId14"/>
    <sheet name="⑧" sheetId="14" r:id="rId15"/>
    <sheet name="R6.9" sheetId="15" r:id="rId16"/>
    <sheet name="⑨" sheetId="16" r:id="rId17"/>
    <sheet name="R6.10" sheetId="17" r:id="rId18"/>
    <sheet name="⑩" sheetId="18" r:id="rId19"/>
    <sheet name="R6.11" sheetId="19" r:id="rId20"/>
    <sheet name="⑪" sheetId="20" r:id="rId21"/>
    <sheet name="R6.12" sheetId="21" r:id="rId22"/>
    <sheet name="⑫" sheetId="22" r:id="rId23"/>
    <sheet name="R7.1" sheetId="23" r:id="rId24"/>
    <sheet name="①" sheetId="24" r:id="rId25"/>
    <sheet name="R7.2" sheetId="25" r:id="rId26"/>
    <sheet name="②" sheetId="26" r:id="rId27"/>
    <sheet name="名前の定義用" sheetId="27" r:id="rId28"/>
  </sheets>
  <functionGroups builtInGroupCount="19"/>
  <definedNames>
    <definedName name="_xlnm.Print_Area" localSheetId="17">'R6.10'!$A$1:$K$29</definedName>
    <definedName name="_xlnm.Print_Area" localSheetId="19">'R6.11'!$A$1:$K$29</definedName>
    <definedName name="_xlnm.Print_Area" localSheetId="21">'R6.12'!$A$1:$K$29</definedName>
    <definedName name="_xlnm.Print_Area" localSheetId="3">'R6.3'!$A$1:$K$29</definedName>
    <definedName name="_xlnm.Print_Area" localSheetId="5">'R6.4'!$A$1:$K$29</definedName>
    <definedName name="_xlnm.Print_Area" localSheetId="7">'R6.5'!$A$1:$K$29</definedName>
    <definedName name="_xlnm.Print_Area" localSheetId="9">'R6.6'!$A$1:$K$29</definedName>
    <definedName name="_xlnm.Print_Area" localSheetId="11">'R6.7'!$A$1:$K$29</definedName>
    <definedName name="_xlnm.Print_Area" localSheetId="13">'R6.8'!$A$1:$K$29</definedName>
    <definedName name="_xlnm.Print_Area" localSheetId="15">'R6.9'!$A$1:$K$29</definedName>
    <definedName name="_xlnm.Print_Area" localSheetId="23">'R7.1'!$A$1:$K$29</definedName>
    <definedName name="_xlnm.Print_Area" localSheetId="25">'R7.2'!$A$1:$K$29</definedName>
    <definedName name="_xlnm.Print_Titles" localSheetId="24">①!$4:$5</definedName>
    <definedName name="_xlnm.Print_Titles" localSheetId="18">⑩!$4:$5</definedName>
    <definedName name="_xlnm.Print_Titles" localSheetId="20">⑪!$4:$5</definedName>
    <definedName name="_xlnm.Print_Titles" localSheetId="22">⑫!$4:$5</definedName>
    <definedName name="_xlnm.Print_Titles" localSheetId="26">②!$4:$5</definedName>
    <definedName name="_xlnm.Print_Titles" localSheetId="4">③!$4:$5</definedName>
    <definedName name="_xlnm.Print_Titles" localSheetId="6">④!$4:$5</definedName>
    <definedName name="_xlnm.Print_Titles" localSheetId="8">⑤!$4:$5</definedName>
    <definedName name="_xlnm.Print_Titles" localSheetId="10">⑥!$4:$5</definedName>
    <definedName name="_xlnm.Print_Titles" localSheetId="12">⑦!$4:$5</definedName>
    <definedName name="_xlnm.Print_Titles" localSheetId="14">⑧!$4:$5</definedName>
    <definedName name="_xlnm.Print_Titles" localSheetId="16">⑨!$4:$5</definedName>
    <definedName name="返戻・未請求扱い">名前の定義用!$B$3:$B$14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 l="1"/>
  <c r="A16" i="1" s="1"/>
  <c r="V19" i="1"/>
  <c r="V20" i="1"/>
  <c r="V21" i="1"/>
  <c r="V22" i="1"/>
  <c r="V23" i="1"/>
  <c r="V24" i="1"/>
  <c r="V25" i="1"/>
  <c r="V26" i="1"/>
  <c r="V27" i="1"/>
  <c r="V28" i="1"/>
  <c r="V29" i="1"/>
  <c r="V30" i="1"/>
  <c r="U19" i="1"/>
  <c r="U20" i="1"/>
  <c r="U21" i="1"/>
  <c r="U22" i="1"/>
  <c r="U23" i="1"/>
  <c r="U24" i="1"/>
  <c r="U25" i="1"/>
  <c r="U26" i="1"/>
  <c r="U27" i="1"/>
  <c r="U28" i="1"/>
  <c r="U29" i="1"/>
  <c r="U30" i="1"/>
  <c r="T19" i="1"/>
  <c r="T20" i="1"/>
  <c r="T21" i="1"/>
  <c r="T22" i="1"/>
  <c r="T23" i="1"/>
  <c r="T24" i="1"/>
  <c r="T25" i="1"/>
  <c r="T26" i="1"/>
  <c r="T27" i="1"/>
  <c r="T28" i="1"/>
  <c r="T29" i="1"/>
  <c r="T30" i="1"/>
  <c r="S19" i="1"/>
  <c r="S20" i="1"/>
  <c r="S21" i="1"/>
  <c r="S22" i="1"/>
  <c r="S23" i="1"/>
  <c r="S24" i="1"/>
  <c r="S25" i="1"/>
  <c r="S26" i="1"/>
  <c r="S27" i="1"/>
  <c r="S28" i="1"/>
  <c r="S29" i="1"/>
  <c r="S30" i="1"/>
  <c r="R19" i="1"/>
  <c r="R20" i="1"/>
  <c r="R21" i="1"/>
  <c r="R22" i="1"/>
  <c r="R23" i="1"/>
  <c r="R24" i="1"/>
  <c r="R25" i="1"/>
  <c r="R26" i="1"/>
  <c r="R27" i="1"/>
  <c r="R28" i="1"/>
  <c r="R29" i="1"/>
  <c r="R30" i="1"/>
  <c r="Q19" i="1"/>
  <c r="Q20" i="1"/>
  <c r="Q21" i="1"/>
  <c r="Q22" i="1"/>
  <c r="Q23" i="1"/>
  <c r="Q24" i="1"/>
  <c r="Q25" i="1"/>
  <c r="Q26" i="1"/>
  <c r="Q27" i="1"/>
  <c r="Q28" i="1"/>
  <c r="Q29" i="1"/>
  <c r="Q30" i="1"/>
  <c r="P19" i="1"/>
  <c r="P20" i="1"/>
  <c r="P21" i="1"/>
  <c r="P22" i="1"/>
  <c r="P23" i="1"/>
  <c r="P24" i="1"/>
  <c r="P25" i="1"/>
  <c r="P26" i="1"/>
  <c r="P27" i="1"/>
  <c r="P28" i="1"/>
  <c r="P29" i="1"/>
  <c r="P30" i="1"/>
  <c r="O19" i="1"/>
  <c r="O20" i="1"/>
  <c r="O21" i="1"/>
  <c r="O22" i="1"/>
  <c r="O23" i="1"/>
  <c r="O24" i="1"/>
  <c r="O25" i="1"/>
  <c r="O26" i="1"/>
  <c r="O27" i="1"/>
  <c r="O28" i="1"/>
  <c r="O29" i="1"/>
  <c r="O30" i="1"/>
  <c r="A12" i="1" l="1"/>
  <c r="A8" i="1"/>
  <c r="A9" i="1"/>
  <c r="A10" i="1"/>
  <c r="A11" i="1"/>
  <c r="A5" i="1"/>
  <c r="A6" i="1"/>
  <c r="A14" i="1"/>
  <c r="A13" i="1"/>
  <c r="A7" i="1"/>
  <c r="A15" i="1"/>
  <c r="E13" i="11"/>
  <c r="E14" i="13"/>
  <c r="E13" i="13"/>
  <c r="E12" i="13"/>
  <c r="E11" i="13"/>
  <c r="E10" i="13"/>
  <c r="E8" i="13"/>
  <c r="E7" i="13"/>
  <c r="D14" i="13"/>
  <c r="D13" i="13"/>
  <c r="D12" i="13"/>
  <c r="D11" i="13"/>
  <c r="D10" i="13"/>
  <c r="D9" i="13"/>
  <c r="D8" i="13"/>
  <c r="D7" i="13"/>
  <c r="D4" i="13"/>
  <c r="E9" i="13"/>
  <c r="D4" i="11"/>
  <c r="E14" i="11"/>
  <c r="E12" i="11"/>
  <c r="E11" i="11"/>
  <c r="E10" i="11"/>
  <c r="E8" i="11"/>
  <c r="E7" i="11"/>
  <c r="D14" i="11"/>
  <c r="D13" i="11"/>
  <c r="D12" i="11"/>
  <c r="D11" i="11"/>
  <c r="D10" i="11"/>
  <c r="D9" i="11"/>
  <c r="D8" i="11"/>
  <c r="D7" i="11"/>
  <c r="E9" i="11"/>
  <c r="E14" i="9"/>
  <c r="E13" i="9"/>
  <c r="E12" i="9"/>
  <c r="E11" i="9"/>
  <c r="E10" i="9"/>
  <c r="E8" i="9"/>
  <c r="E7" i="9"/>
  <c r="E9" i="9"/>
  <c r="E12" i="3"/>
  <c r="E8" i="3"/>
  <c r="E1" i="1" l="1"/>
  <c r="L77" i="26"/>
  <c r="L76" i="26"/>
  <c r="L78" i="26" s="1"/>
  <c r="L74" i="26"/>
  <c r="L73" i="26"/>
  <c r="L72" i="26"/>
  <c r="L71" i="26"/>
  <c r="L70" i="26"/>
  <c r="L69" i="26"/>
  <c r="L75" i="26" s="1"/>
  <c r="J16" i="25" s="1"/>
  <c r="L67" i="26"/>
  <c r="L66" i="26"/>
  <c r="L65" i="26"/>
  <c r="L64" i="26"/>
  <c r="L63" i="26"/>
  <c r="L62" i="26"/>
  <c r="L60" i="26"/>
  <c r="L59" i="26"/>
  <c r="L58" i="26"/>
  <c r="L57" i="26"/>
  <c r="L56" i="26"/>
  <c r="L61" i="26" s="1"/>
  <c r="J14" i="25" s="1"/>
  <c r="L55" i="26"/>
  <c r="L53" i="26"/>
  <c r="L52" i="26"/>
  <c r="L51" i="26"/>
  <c r="L50" i="26"/>
  <c r="L49" i="26"/>
  <c r="L48" i="26"/>
  <c r="L46" i="26"/>
  <c r="L45" i="26"/>
  <c r="L44" i="26"/>
  <c r="L43" i="26"/>
  <c r="L42" i="26"/>
  <c r="L41" i="26"/>
  <c r="L38" i="26"/>
  <c r="L37" i="26"/>
  <c r="L36" i="26"/>
  <c r="L35" i="26"/>
  <c r="L33" i="26"/>
  <c r="L32" i="26"/>
  <c r="L31" i="26"/>
  <c r="L30" i="26"/>
  <c r="K27" i="26"/>
  <c r="K26" i="26"/>
  <c r="K25" i="26"/>
  <c r="K24" i="26"/>
  <c r="K22" i="26"/>
  <c r="K21" i="26"/>
  <c r="K20" i="26"/>
  <c r="K19" i="26"/>
  <c r="K16" i="26"/>
  <c r="K15" i="26"/>
  <c r="K14" i="26"/>
  <c r="K13" i="26"/>
  <c r="K11" i="26"/>
  <c r="K10" i="26"/>
  <c r="K9" i="26"/>
  <c r="K8" i="26"/>
  <c r="J1" i="26"/>
  <c r="E19" i="25"/>
  <c r="J17" i="25"/>
  <c r="J2" i="25"/>
  <c r="L1" i="26" s="1"/>
  <c r="L77" i="24"/>
  <c r="L78" i="24" s="1"/>
  <c r="J17" i="23" s="1"/>
  <c r="L76" i="24"/>
  <c r="L74" i="24"/>
  <c r="L73" i="24"/>
  <c r="L72" i="24"/>
  <c r="L71" i="24"/>
  <c r="L70" i="24"/>
  <c r="L69" i="24"/>
  <c r="L67" i="24"/>
  <c r="L66" i="24"/>
  <c r="L65" i="24"/>
  <c r="L64" i="24"/>
  <c r="L63" i="24"/>
  <c r="L62" i="24"/>
  <c r="L60" i="24"/>
  <c r="L59" i="24"/>
  <c r="L58" i="24"/>
  <c r="L57" i="24"/>
  <c r="L56" i="24"/>
  <c r="L55" i="24"/>
  <c r="L53" i="24"/>
  <c r="L52" i="24"/>
  <c r="L51" i="24"/>
  <c r="L50" i="24"/>
  <c r="L49" i="24"/>
  <c r="L48" i="24"/>
  <c r="L46" i="24"/>
  <c r="L45" i="24"/>
  <c r="L44" i="24"/>
  <c r="L43" i="24"/>
  <c r="L42" i="24"/>
  <c r="L41" i="24"/>
  <c r="L38" i="24"/>
  <c r="L37" i="24"/>
  <c r="L36" i="24"/>
  <c r="L35" i="24"/>
  <c r="L33" i="24"/>
  <c r="L32" i="24"/>
  <c r="L31" i="24"/>
  <c r="L30" i="24"/>
  <c r="K27" i="24"/>
  <c r="K26" i="24"/>
  <c r="K25" i="24"/>
  <c r="K24" i="24"/>
  <c r="K22" i="24"/>
  <c r="K21" i="24"/>
  <c r="K20" i="24"/>
  <c r="K19" i="24"/>
  <c r="K16" i="24"/>
  <c r="K15" i="24"/>
  <c r="K14" i="24"/>
  <c r="K13" i="24"/>
  <c r="K11" i="24"/>
  <c r="K10" i="24"/>
  <c r="K9" i="24"/>
  <c r="K8" i="24"/>
  <c r="J1" i="24"/>
  <c r="E19" i="23"/>
  <c r="J2" i="23"/>
  <c r="L1" i="24" s="1"/>
  <c r="L77" i="22"/>
  <c r="L76" i="22"/>
  <c r="L74" i="22"/>
  <c r="L73" i="22"/>
  <c r="L72" i="22"/>
  <c r="L71" i="22"/>
  <c r="L70" i="22"/>
  <c r="L69" i="22"/>
  <c r="L67" i="22"/>
  <c r="L66" i="22"/>
  <c r="L65" i="22"/>
  <c r="L64" i="22"/>
  <c r="L63" i="22"/>
  <c r="L62" i="22"/>
  <c r="L60" i="22"/>
  <c r="L59" i="22"/>
  <c r="L58" i="22"/>
  <c r="L57" i="22"/>
  <c r="L56" i="22"/>
  <c r="L55" i="22"/>
  <c r="L53" i="22"/>
  <c r="L52" i="22"/>
  <c r="L51" i="22"/>
  <c r="L50" i="22"/>
  <c r="L49" i="22"/>
  <c r="L48" i="22"/>
  <c r="L46" i="22"/>
  <c r="L45" i="22"/>
  <c r="L44" i="22"/>
  <c r="L43" i="22"/>
  <c r="L42" i="22"/>
  <c r="L41" i="22"/>
  <c r="L38" i="22"/>
  <c r="L37" i="22"/>
  <c r="L36" i="22"/>
  <c r="L35" i="22"/>
  <c r="L33" i="22"/>
  <c r="L32" i="22"/>
  <c r="L31" i="22"/>
  <c r="L30" i="22"/>
  <c r="K27" i="22"/>
  <c r="K26" i="22"/>
  <c r="K25" i="22"/>
  <c r="K24" i="22"/>
  <c r="K22" i="22"/>
  <c r="K21" i="22"/>
  <c r="K20" i="22"/>
  <c r="K19" i="22"/>
  <c r="K16" i="22"/>
  <c r="K15" i="22"/>
  <c r="K14" i="22"/>
  <c r="K13" i="22"/>
  <c r="K11" i="22"/>
  <c r="K10" i="22"/>
  <c r="K9" i="22"/>
  <c r="K8" i="22"/>
  <c r="J1" i="22"/>
  <c r="E19" i="21"/>
  <c r="J2" i="21"/>
  <c r="L1" i="22" s="1"/>
  <c r="L77" i="20"/>
  <c r="L76" i="20"/>
  <c r="L74" i="20"/>
  <c r="L73" i="20"/>
  <c r="L72" i="20"/>
  <c r="L71" i="20"/>
  <c r="L70" i="20"/>
  <c r="L69" i="20"/>
  <c r="L67" i="20"/>
  <c r="L66" i="20"/>
  <c r="L65" i="20"/>
  <c r="L64" i="20"/>
  <c r="L63" i="20"/>
  <c r="L62" i="20"/>
  <c r="L60" i="20"/>
  <c r="L59" i="20"/>
  <c r="L58" i="20"/>
  <c r="L57" i="20"/>
  <c r="L56" i="20"/>
  <c r="L55" i="20"/>
  <c r="L53" i="20"/>
  <c r="L52" i="20"/>
  <c r="L51" i="20"/>
  <c r="L50" i="20"/>
  <c r="L49" i="20"/>
  <c r="L48" i="20"/>
  <c r="L46" i="20"/>
  <c r="L45" i="20"/>
  <c r="L44" i="20"/>
  <c r="L43" i="20"/>
  <c r="L42" i="20"/>
  <c r="L41" i="20"/>
  <c r="L38" i="20"/>
  <c r="L37" i="20"/>
  <c r="L36" i="20"/>
  <c r="L35" i="20"/>
  <c r="L33" i="20"/>
  <c r="L32" i="20"/>
  <c r="L31" i="20"/>
  <c r="L30" i="20"/>
  <c r="K27" i="20"/>
  <c r="K26" i="20"/>
  <c r="K25" i="20"/>
  <c r="K24" i="20"/>
  <c r="K22" i="20"/>
  <c r="K21" i="20"/>
  <c r="K20" i="20"/>
  <c r="K19" i="20"/>
  <c r="K16" i="20"/>
  <c r="K15" i="20"/>
  <c r="K14" i="20"/>
  <c r="K13" i="20"/>
  <c r="K11" i="20"/>
  <c r="K10" i="20"/>
  <c r="K9" i="20"/>
  <c r="K8" i="20"/>
  <c r="J1" i="20"/>
  <c r="E19" i="19"/>
  <c r="J2" i="19"/>
  <c r="L1" i="20" s="1"/>
  <c r="L77" i="18"/>
  <c r="L76" i="18"/>
  <c r="L74" i="18"/>
  <c r="L73" i="18"/>
  <c r="L72" i="18"/>
  <c r="L71" i="18"/>
  <c r="L70" i="18"/>
  <c r="L69" i="18"/>
  <c r="L67" i="18"/>
  <c r="L66" i="18"/>
  <c r="L65" i="18"/>
  <c r="L64" i="18"/>
  <c r="L63" i="18"/>
  <c r="L62" i="18"/>
  <c r="L60" i="18"/>
  <c r="L59" i="18"/>
  <c r="L58" i="18"/>
  <c r="L57" i="18"/>
  <c r="L56" i="18"/>
  <c r="L55" i="18"/>
  <c r="L53" i="18"/>
  <c r="L52" i="18"/>
  <c r="L51" i="18"/>
  <c r="L50" i="18"/>
  <c r="L49" i="18"/>
  <c r="L48" i="18"/>
  <c r="L46" i="18"/>
  <c r="L45" i="18"/>
  <c r="L44" i="18"/>
  <c r="L43" i="18"/>
  <c r="L42" i="18"/>
  <c r="L41" i="18"/>
  <c r="L38" i="18"/>
  <c r="L37" i="18"/>
  <c r="L36" i="18"/>
  <c r="L35" i="18"/>
  <c r="L33" i="18"/>
  <c r="L32" i="18"/>
  <c r="L31" i="18"/>
  <c r="L30" i="18"/>
  <c r="K27" i="18"/>
  <c r="K26" i="18"/>
  <c r="K25" i="18"/>
  <c r="K24" i="18"/>
  <c r="K22" i="18"/>
  <c r="K21" i="18"/>
  <c r="K20" i="18"/>
  <c r="K19" i="18"/>
  <c r="K16" i="18"/>
  <c r="K15" i="18"/>
  <c r="K14" i="18"/>
  <c r="K13" i="18"/>
  <c r="K11" i="18"/>
  <c r="K10" i="18"/>
  <c r="K9" i="18"/>
  <c r="K8" i="18"/>
  <c r="J1" i="18"/>
  <c r="E19" i="17"/>
  <c r="J2" i="17"/>
  <c r="L1" i="18" s="1"/>
  <c r="L77" i="16"/>
  <c r="L76" i="16"/>
  <c r="L74" i="16"/>
  <c r="L73" i="16"/>
  <c r="L72" i="16"/>
  <c r="L71" i="16"/>
  <c r="L70" i="16"/>
  <c r="L69" i="16"/>
  <c r="L67" i="16"/>
  <c r="L66" i="16"/>
  <c r="L65" i="16"/>
  <c r="L64" i="16"/>
  <c r="L63" i="16"/>
  <c r="L62" i="16"/>
  <c r="L60" i="16"/>
  <c r="L59" i="16"/>
  <c r="L58" i="16"/>
  <c r="L57" i="16"/>
  <c r="L56" i="16"/>
  <c r="L55" i="16"/>
  <c r="L53" i="16"/>
  <c r="L52" i="16"/>
  <c r="L51" i="16"/>
  <c r="L50" i="16"/>
  <c r="L49" i="16"/>
  <c r="L48" i="16"/>
  <c r="L46" i="16"/>
  <c r="L45" i="16"/>
  <c r="L44" i="16"/>
  <c r="L43" i="16"/>
  <c r="L42" i="16"/>
  <c r="L41" i="16"/>
  <c r="L38" i="16"/>
  <c r="L37" i="16"/>
  <c r="L36" i="16"/>
  <c r="L35" i="16"/>
  <c r="L33" i="16"/>
  <c r="L32" i="16"/>
  <c r="L31" i="16"/>
  <c r="L30" i="16"/>
  <c r="K27" i="16"/>
  <c r="K26" i="16"/>
  <c r="K25" i="16"/>
  <c r="K24" i="16"/>
  <c r="K22" i="16"/>
  <c r="K21" i="16"/>
  <c r="K20" i="16"/>
  <c r="K19" i="16"/>
  <c r="K16" i="16"/>
  <c r="K15" i="16"/>
  <c r="K14" i="16"/>
  <c r="K13" i="16"/>
  <c r="K11" i="16"/>
  <c r="K10" i="16"/>
  <c r="K9" i="16"/>
  <c r="K8" i="16"/>
  <c r="J1" i="16"/>
  <c r="E19" i="15"/>
  <c r="J2" i="15"/>
  <c r="L1" i="16" s="1"/>
  <c r="L77" i="14"/>
  <c r="L76" i="14"/>
  <c r="L74" i="14"/>
  <c r="L73" i="14"/>
  <c r="L72" i="14"/>
  <c r="L71" i="14"/>
  <c r="L70" i="14"/>
  <c r="L69" i="14"/>
  <c r="L67" i="14"/>
  <c r="L66" i="14"/>
  <c r="L65" i="14"/>
  <c r="L64" i="14"/>
  <c r="L63" i="14"/>
  <c r="L62" i="14"/>
  <c r="L60" i="14"/>
  <c r="L59" i="14"/>
  <c r="L58" i="14"/>
  <c r="L57" i="14"/>
  <c r="L56" i="14"/>
  <c r="L55" i="14"/>
  <c r="L53" i="14"/>
  <c r="L52" i="14"/>
  <c r="L51" i="14"/>
  <c r="L50" i="14"/>
  <c r="L49" i="14"/>
  <c r="L48" i="14"/>
  <c r="L46" i="14"/>
  <c r="L45" i="14"/>
  <c r="L44" i="14"/>
  <c r="L43" i="14"/>
  <c r="L42" i="14"/>
  <c r="L41" i="14"/>
  <c r="L38" i="14"/>
  <c r="L37" i="14"/>
  <c r="L36" i="14"/>
  <c r="L35" i="14"/>
  <c r="L33" i="14"/>
  <c r="L32" i="14"/>
  <c r="L31" i="14"/>
  <c r="L30" i="14"/>
  <c r="K27" i="14"/>
  <c r="K26" i="14"/>
  <c r="K25" i="14"/>
  <c r="K24" i="14"/>
  <c r="K22" i="14"/>
  <c r="K21" i="14"/>
  <c r="K20" i="14"/>
  <c r="K19" i="14"/>
  <c r="K16" i="14"/>
  <c r="K15" i="14"/>
  <c r="K14" i="14"/>
  <c r="K13" i="14"/>
  <c r="K11" i="14"/>
  <c r="K10" i="14"/>
  <c r="K9" i="14"/>
  <c r="K8" i="14"/>
  <c r="J1" i="14"/>
  <c r="E19" i="13"/>
  <c r="J2" i="13"/>
  <c r="L1" i="14" s="1"/>
  <c r="L77" i="12"/>
  <c r="L76" i="12"/>
  <c r="L78" i="12" s="1"/>
  <c r="J17" i="11" s="1"/>
  <c r="L74" i="12"/>
  <c r="L73" i="12"/>
  <c r="L72" i="12"/>
  <c r="L71" i="12"/>
  <c r="L70" i="12"/>
  <c r="L69" i="12"/>
  <c r="L67" i="12"/>
  <c r="L66" i="12"/>
  <c r="L65" i="12"/>
  <c r="L64" i="12"/>
  <c r="L63" i="12"/>
  <c r="L62" i="12"/>
  <c r="L60" i="12"/>
  <c r="L59" i="12"/>
  <c r="L58" i="12"/>
  <c r="L57" i="12"/>
  <c r="L56" i="12"/>
  <c r="L55" i="12"/>
  <c r="L53" i="12"/>
  <c r="L52" i="12"/>
  <c r="L51" i="12"/>
  <c r="L50" i="12"/>
  <c r="L49" i="12"/>
  <c r="L48" i="12"/>
  <c r="L46" i="12"/>
  <c r="L45" i="12"/>
  <c r="L44" i="12"/>
  <c r="L43" i="12"/>
  <c r="L42" i="12"/>
  <c r="L41" i="12"/>
  <c r="L38" i="12"/>
  <c r="L37" i="12"/>
  <c r="L36" i="12"/>
  <c r="L35" i="12"/>
  <c r="L33" i="12"/>
  <c r="L32" i="12"/>
  <c r="L31" i="12"/>
  <c r="L30" i="12"/>
  <c r="K27" i="12"/>
  <c r="K26" i="12"/>
  <c r="K25" i="12"/>
  <c r="K24" i="12"/>
  <c r="K22" i="12"/>
  <c r="K21" i="12"/>
  <c r="K20" i="12"/>
  <c r="K19" i="12"/>
  <c r="K16" i="12"/>
  <c r="K15" i="12"/>
  <c r="K14" i="12"/>
  <c r="K13" i="12"/>
  <c r="K11" i="12"/>
  <c r="K10" i="12"/>
  <c r="K9" i="12"/>
  <c r="K8" i="12"/>
  <c r="J1" i="12"/>
  <c r="E19" i="11"/>
  <c r="J2" i="11"/>
  <c r="L1" i="12" s="1"/>
  <c r="L77" i="10"/>
  <c r="L76" i="10"/>
  <c r="L74" i="10"/>
  <c r="L73" i="10"/>
  <c r="L72" i="10"/>
  <c r="L71" i="10"/>
  <c r="L70" i="10"/>
  <c r="L69" i="10"/>
  <c r="L67" i="10"/>
  <c r="L66" i="10"/>
  <c r="L65" i="10"/>
  <c r="L64" i="10"/>
  <c r="L63" i="10"/>
  <c r="L62" i="10"/>
  <c r="L60" i="10"/>
  <c r="L59" i="10"/>
  <c r="L58" i="10"/>
  <c r="L57" i="10"/>
  <c r="L56" i="10"/>
  <c r="L61" i="10" s="1"/>
  <c r="J14" i="9" s="1"/>
  <c r="L55" i="10"/>
  <c r="L53" i="10"/>
  <c r="L52" i="10"/>
  <c r="L51" i="10"/>
  <c r="L50" i="10"/>
  <c r="L49" i="10"/>
  <c r="L48" i="10"/>
  <c r="L46" i="10"/>
  <c r="L45" i="10"/>
  <c r="L44" i="10"/>
  <c r="L43" i="10"/>
  <c r="L42" i="10"/>
  <c r="L41" i="10"/>
  <c r="L38" i="10"/>
  <c r="L37" i="10"/>
  <c r="L36" i="10"/>
  <c r="L35" i="10"/>
  <c r="L33" i="10"/>
  <c r="L32" i="10"/>
  <c r="L31" i="10"/>
  <c r="L30" i="10"/>
  <c r="K27" i="10"/>
  <c r="K26" i="10"/>
  <c r="K25" i="10"/>
  <c r="K24" i="10"/>
  <c r="K22" i="10"/>
  <c r="K21" i="10"/>
  <c r="K20" i="10"/>
  <c r="K19" i="10"/>
  <c r="K16" i="10"/>
  <c r="K15" i="10"/>
  <c r="K14" i="10"/>
  <c r="K13" i="10"/>
  <c r="K11" i="10"/>
  <c r="K10" i="10"/>
  <c r="K9" i="10"/>
  <c r="K8" i="10"/>
  <c r="J1" i="10"/>
  <c r="E19" i="9"/>
  <c r="D14" i="9"/>
  <c r="D13" i="9"/>
  <c r="D12" i="9"/>
  <c r="D11" i="9"/>
  <c r="D10" i="9"/>
  <c r="D9" i="9"/>
  <c r="D8" i="9"/>
  <c r="D7" i="9"/>
  <c r="D4" i="9"/>
  <c r="J2" i="9"/>
  <c r="L1" i="10" s="1"/>
  <c r="L77" i="8"/>
  <c r="L76" i="8"/>
  <c r="L78" i="8" s="1"/>
  <c r="L74" i="8"/>
  <c r="L73" i="8"/>
  <c r="L72" i="8"/>
  <c r="L71" i="8"/>
  <c r="L70" i="8"/>
  <c r="L69" i="8"/>
  <c r="L67" i="8"/>
  <c r="L66" i="8"/>
  <c r="L65" i="8"/>
  <c r="L64" i="8"/>
  <c r="L63" i="8"/>
  <c r="L62" i="8"/>
  <c r="L60" i="8"/>
  <c r="L59" i="8"/>
  <c r="L58" i="8"/>
  <c r="L57" i="8"/>
  <c r="L56" i="8"/>
  <c r="L55" i="8"/>
  <c r="L53" i="8"/>
  <c r="L52" i="8"/>
  <c r="L51" i="8"/>
  <c r="L50" i="8"/>
  <c r="L49" i="8"/>
  <c r="L48" i="8"/>
  <c r="L46" i="8"/>
  <c r="L45" i="8"/>
  <c r="L44" i="8"/>
  <c r="L43" i="8"/>
  <c r="L42" i="8"/>
  <c r="L41" i="8"/>
  <c r="L38" i="8"/>
  <c r="L37" i="8"/>
  <c r="L36" i="8"/>
  <c r="L35" i="8"/>
  <c r="L33" i="8"/>
  <c r="L32" i="8"/>
  <c r="L31" i="8"/>
  <c r="L30" i="8"/>
  <c r="K27" i="8"/>
  <c r="K26" i="8"/>
  <c r="K25" i="8"/>
  <c r="K24" i="8"/>
  <c r="K22" i="8"/>
  <c r="K21" i="8"/>
  <c r="K20" i="8"/>
  <c r="K19" i="8"/>
  <c r="K16" i="8"/>
  <c r="K15" i="8"/>
  <c r="K14" i="8"/>
  <c r="K13" i="8"/>
  <c r="K11" i="8"/>
  <c r="K10" i="8"/>
  <c r="K9" i="8"/>
  <c r="K8" i="8"/>
  <c r="J1" i="8"/>
  <c r="J17" i="7"/>
  <c r="E14" i="7"/>
  <c r="D14" i="7"/>
  <c r="E13" i="7"/>
  <c r="D13" i="7"/>
  <c r="E12" i="7"/>
  <c r="D12" i="7"/>
  <c r="E11" i="7"/>
  <c r="D11" i="7"/>
  <c r="E10" i="7"/>
  <c r="D10" i="7"/>
  <c r="D9" i="7"/>
  <c r="E8" i="7"/>
  <c r="D8" i="7"/>
  <c r="E7" i="7"/>
  <c r="D7" i="7"/>
  <c r="D4" i="7"/>
  <c r="J2" i="7"/>
  <c r="L1" i="8" s="1"/>
  <c r="L77" i="6"/>
  <c r="L76" i="6"/>
  <c r="L74" i="6"/>
  <c r="L73" i="6"/>
  <c r="L72" i="6"/>
  <c r="L71" i="6"/>
  <c r="L70" i="6"/>
  <c r="L69" i="6"/>
  <c r="L67" i="6"/>
  <c r="L66" i="6"/>
  <c r="L65" i="6"/>
  <c r="L64" i="6"/>
  <c r="L63" i="6"/>
  <c r="L62" i="6"/>
  <c r="L60" i="6"/>
  <c r="L59" i="6"/>
  <c r="L58" i="6"/>
  <c r="L57" i="6"/>
  <c r="L56" i="6"/>
  <c r="L55" i="6"/>
  <c r="L53" i="6"/>
  <c r="L52" i="6"/>
  <c r="L51" i="6"/>
  <c r="L50" i="6"/>
  <c r="L49" i="6"/>
  <c r="L48" i="6"/>
  <c r="L46" i="6"/>
  <c r="L45" i="6"/>
  <c r="L44" i="6"/>
  <c r="L43" i="6"/>
  <c r="L42" i="6"/>
  <c r="L41" i="6"/>
  <c r="L38" i="6"/>
  <c r="L37" i="6"/>
  <c r="L36" i="6"/>
  <c r="L35" i="6"/>
  <c r="L33" i="6"/>
  <c r="L32" i="6"/>
  <c r="L31" i="6"/>
  <c r="L30" i="6"/>
  <c r="K27" i="6"/>
  <c r="K26" i="6"/>
  <c r="K25" i="6"/>
  <c r="K24" i="6"/>
  <c r="K22" i="6"/>
  <c r="K21" i="6"/>
  <c r="K20" i="6"/>
  <c r="K19" i="6"/>
  <c r="K16" i="6"/>
  <c r="K15" i="6"/>
  <c r="K14" i="6"/>
  <c r="K13" i="6"/>
  <c r="K11" i="6"/>
  <c r="K10" i="6"/>
  <c r="K9" i="6"/>
  <c r="K8" i="6"/>
  <c r="J1" i="6"/>
  <c r="E14" i="5"/>
  <c r="D14" i="5"/>
  <c r="E13" i="5"/>
  <c r="D13" i="5"/>
  <c r="E12" i="5"/>
  <c r="D12" i="5"/>
  <c r="E11" i="5"/>
  <c r="D11" i="5"/>
  <c r="E10" i="5"/>
  <c r="D10" i="5"/>
  <c r="D9" i="5"/>
  <c r="E8" i="5"/>
  <c r="D8" i="5"/>
  <c r="E7" i="5"/>
  <c r="D7" i="5"/>
  <c r="D4" i="5"/>
  <c r="J2" i="5"/>
  <c r="L1" i="6" s="1"/>
  <c r="L77" i="4"/>
  <c r="L76" i="4"/>
  <c r="L74" i="4"/>
  <c r="L73" i="4"/>
  <c r="L72" i="4"/>
  <c r="L71" i="4"/>
  <c r="L70" i="4"/>
  <c r="L69" i="4"/>
  <c r="L67" i="4"/>
  <c r="L66" i="4"/>
  <c r="L65" i="4"/>
  <c r="L64" i="4"/>
  <c r="L63" i="4"/>
  <c r="L62" i="4"/>
  <c r="L60" i="4"/>
  <c r="L59" i="4"/>
  <c r="L58" i="4"/>
  <c r="L57" i="4"/>
  <c r="L56" i="4"/>
  <c r="L55" i="4"/>
  <c r="L53" i="4"/>
  <c r="L52" i="4"/>
  <c r="L51" i="4"/>
  <c r="L50" i="4"/>
  <c r="L49" i="4"/>
  <c r="L48" i="4"/>
  <c r="L46" i="4"/>
  <c r="L45" i="4"/>
  <c r="L44" i="4"/>
  <c r="L43" i="4"/>
  <c r="L42" i="4"/>
  <c r="L41" i="4"/>
  <c r="L38" i="4"/>
  <c r="L37" i="4"/>
  <c r="L36" i="4"/>
  <c r="L35" i="4"/>
  <c r="L33" i="4"/>
  <c r="L32" i="4"/>
  <c r="L31" i="4"/>
  <c r="L30" i="4"/>
  <c r="K27" i="4"/>
  <c r="K26" i="4"/>
  <c r="K25" i="4"/>
  <c r="K24" i="4"/>
  <c r="K22" i="4"/>
  <c r="K21" i="4"/>
  <c r="K20" i="4"/>
  <c r="K19" i="4"/>
  <c r="K16" i="4"/>
  <c r="K15" i="4"/>
  <c r="K14" i="4"/>
  <c r="K13" i="4"/>
  <c r="K11" i="4"/>
  <c r="K10" i="4"/>
  <c r="K9" i="4"/>
  <c r="K8" i="4"/>
  <c r="J1" i="4"/>
  <c r="E14" i="3"/>
  <c r="D14" i="3"/>
  <c r="E13" i="3"/>
  <c r="D13" i="3"/>
  <c r="D12" i="3"/>
  <c r="E11" i="3"/>
  <c r="D11" i="3"/>
  <c r="E10" i="3"/>
  <c r="D10" i="3"/>
  <c r="D9" i="3"/>
  <c r="D8" i="3"/>
  <c r="E7" i="3"/>
  <c r="D7" i="3"/>
  <c r="D4" i="3"/>
  <c r="J2" i="3"/>
  <c r="L1" i="4" s="1"/>
  <c r="K12" i="24"/>
  <c r="K12" i="16"/>
  <c r="K12" i="12"/>
  <c r="K12" i="14"/>
  <c r="K12" i="4"/>
  <c r="K12" i="26"/>
  <c r="K12" i="10"/>
  <c r="K12" i="18"/>
  <c r="K12" i="22"/>
  <c r="K12" i="8"/>
  <c r="K12" i="20"/>
  <c r="K12" i="6"/>
  <c r="G2" i="11" l="1"/>
  <c r="H1" i="12" s="1"/>
  <c r="G2" i="3"/>
  <c r="L61" i="20"/>
  <c r="J14" i="19" s="1"/>
  <c r="L78" i="20"/>
  <c r="J17" i="19" s="1"/>
  <c r="L61" i="12"/>
  <c r="J14" i="11" s="1"/>
  <c r="L68" i="14"/>
  <c r="J15" i="13" s="1"/>
  <c r="L61" i="16"/>
  <c r="J14" i="15" s="1"/>
  <c r="L78" i="16"/>
  <c r="J17" i="15" s="1"/>
  <c r="L68" i="18"/>
  <c r="J15" i="17" s="1"/>
  <c r="K17" i="22"/>
  <c r="K28" i="22"/>
  <c r="L39" i="22"/>
  <c r="L61" i="22"/>
  <c r="J14" i="21" s="1"/>
  <c r="L75" i="24"/>
  <c r="J16" i="23" s="1"/>
  <c r="L75" i="4"/>
  <c r="J16" i="3" s="1"/>
  <c r="K28" i="10"/>
  <c r="K17" i="14"/>
  <c r="K17" i="18"/>
  <c r="K18" i="18" s="1"/>
  <c r="K17" i="26"/>
  <c r="L68" i="26"/>
  <c r="J15" i="25" s="1"/>
  <c r="L54" i="6"/>
  <c r="J13" i="5" s="1"/>
  <c r="L78" i="6"/>
  <c r="J17" i="5" s="1"/>
  <c r="L78" i="10"/>
  <c r="J17" i="9" s="1"/>
  <c r="L68" i="12"/>
  <c r="J15" i="11" s="1"/>
  <c r="L61" i="14"/>
  <c r="J14" i="13" s="1"/>
  <c r="L78" i="14"/>
  <c r="J17" i="13" s="1"/>
  <c r="L68" i="16"/>
  <c r="J15" i="15" s="1"/>
  <c r="L61" i="18"/>
  <c r="J14" i="17" s="1"/>
  <c r="L78" i="18"/>
  <c r="J17" i="17" s="1"/>
  <c r="E19" i="5"/>
  <c r="K17" i="20"/>
  <c r="K23" i="22"/>
  <c r="L47" i="22"/>
  <c r="J12" i="21" s="1"/>
  <c r="K17" i="4"/>
  <c r="L61" i="4"/>
  <c r="J14" i="3" s="1"/>
  <c r="L54" i="8"/>
  <c r="L61" i="8"/>
  <c r="J14" i="7" s="1"/>
  <c r="K17" i="16"/>
  <c r="K18" i="16" s="1"/>
  <c r="L61" i="24"/>
  <c r="J14" i="23" s="1"/>
  <c r="G2" i="25"/>
  <c r="H1" i="26" s="1"/>
  <c r="G2" i="5"/>
  <c r="H1" i="6" s="1"/>
  <c r="H1" i="4"/>
  <c r="E19" i="3"/>
  <c r="L54" i="4"/>
  <c r="J13" i="3" s="1"/>
  <c r="K17" i="6"/>
  <c r="K18" i="6" s="1"/>
  <c r="K23" i="6"/>
  <c r="K28" i="6"/>
  <c r="L39" i="6"/>
  <c r="L47" i="6"/>
  <c r="J12" i="5" s="1"/>
  <c r="L75" i="6"/>
  <c r="J16" i="5" s="1"/>
  <c r="G2" i="7"/>
  <c r="H1" i="8" s="1"/>
  <c r="E19" i="7"/>
  <c r="L68" i="8"/>
  <c r="J15" i="7" s="1"/>
  <c r="L54" i="10"/>
  <c r="J13" i="9" s="1"/>
  <c r="K17" i="12"/>
  <c r="K23" i="12"/>
  <c r="K28" i="12"/>
  <c r="L39" i="12"/>
  <c r="L47" i="12"/>
  <c r="J12" i="11" s="1"/>
  <c r="K23" i="14"/>
  <c r="K29" i="14" s="1"/>
  <c r="D15" i="13" s="1"/>
  <c r="K28" i="14"/>
  <c r="L39" i="14"/>
  <c r="L47" i="14"/>
  <c r="J12" i="13" s="1"/>
  <c r="K23" i="16"/>
  <c r="K28" i="16"/>
  <c r="L39" i="16"/>
  <c r="L47" i="16"/>
  <c r="J12" i="15" s="1"/>
  <c r="K23" i="18"/>
  <c r="K29" i="18" s="1"/>
  <c r="D15" i="17" s="1"/>
  <c r="K28" i="18"/>
  <c r="L39" i="18"/>
  <c r="L47" i="18"/>
  <c r="J12" i="17" s="1"/>
  <c r="K23" i="20"/>
  <c r="K28" i="20"/>
  <c r="L39" i="20"/>
  <c r="L47" i="20"/>
  <c r="J12" i="19" s="1"/>
  <c r="L68" i="22"/>
  <c r="J15" i="21" s="1"/>
  <c r="L75" i="22"/>
  <c r="J16" i="21" s="1"/>
  <c r="G2" i="23"/>
  <c r="H1" i="24" s="1"/>
  <c r="L54" i="26"/>
  <c r="J13" i="25" s="1"/>
  <c r="L68" i="4"/>
  <c r="J15" i="3" s="1"/>
  <c r="L78" i="4"/>
  <c r="J17" i="3" s="1"/>
  <c r="K17" i="8"/>
  <c r="K18" i="8" s="1"/>
  <c r="K23" i="8"/>
  <c r="K28" i="8"/>
  <c r="L39" i="8"/>
  <c r="L47" i="8"/>
  <c r="J12" i="7" s="1"/>
  <c r="K17" i="10"/>
  <c r="K23" i="10"/>
  <c r="K29" i="10" s="1"/>
  <c r="D15" i="9" s="1"/>
  <c r="L75" i="12"/>
  <c r="J16" i="11" s="1"/>
  <c r="G2" i="13"/>
  <c r="H1" i="14" s="1"/>
  <c r="L75" i="14"/>
  <c r="J16" i="13" s="1"/>
  <c r="G2" i="15"/>
  <c r="H1" i="16" s="1"/>
  <c r="L75" i="16"/>
  <c r="J16" i="15" s="1"/>
  <c r="G2" i="17"/>
  <c r="H1" i="18" s="1"/>
  <c r="L75" i="18"/>
  <c r="J16" i="17" s="1"/>
  <c r="G2" i="19"/>
  <c r="H1" i="20" s="1"/>
  <c r="L68" i="20"/>
  <c r="J15" i="19" s="1"/>
  <c r="L75" i="20"/>
  <c r="J16" i="19" s="1"/>
  <c r="G2" i="21"/>
  <c r="H1" i="22" s="1"/>
  <c r="L54" i="22"/>
  <c r="J13" i="21" s="1"/>
  <c r="L54" i="24"/>
  <c r="J13" i="23" s="1"/>
  <c r="L68" i="24"/>
  <c r="J15" i="23" s="1"/>
  <c r="K23" i="4"/>
  <c r="K28" i="4"/>
  <c r="K29" i="4" s="1"/>
  <c r="D15" i="3" s="1"/>
  <c r="L39" i="4"/>
  <c r="L47" i="4"/>
  <c r="J12" i="3" s="1"/>
  <c r="L61" i="6"/>
  <c r="J14" i="5" s="1"/>
  <c r="L68" i="6"/>
  <c r="J15" i="5" s="1"/>
  <c r="L75" i="8"/>
  <c r="J16" i="7" s="1"/>
  <c r="G2" i="9"/>
  <c r="H1" i="10" s="1"/>
  <c r="L34" i="10"/>
  <c r="L39" i="10"/>
  <c r="L40" i="10" s="1"/>
  <c r="L47" i="10"/>
  <c r="J12" i="9" s="1"/>
  <c r="L68" i="10"/>
  <c r="J15" i="9" s="1"/>
  <c r="L75" i="10"/>
  <c r="J16" i="9" s="1"/>
  <c r="L54" i="12"/>
  <c r="J13" i="11" s="1"/>
  <c r="L54" i="14"/>
  <c r="J13" i="13" s="1"/>
  <c r="L54" i="16"/>
  <c r="J13" i="15" s="1"/>
  <c r="L54" i="18"/>
  <c r="J13" i="17" s="1"/>
  <c r="L54" i="20"/>
  <c r="J13" i="19" s="1"/>
  <c r="L78" i="22"/>
  <c r="J17" i="21" s="1"/>
  <c r="K17" i="24"/>
  <c r="K23" i="24"/>
  <c r="K29" i="24" s="1"/>
  <c r="D15" i="23" s="1"/>
  <c r="K28" i="24"/>
  <c r="L39" i="24"/>
  <c r="L40" i="24" s="1"/>
  <c r="D16" i="23" s="1"/>
  <c r="L47" i="24"/>
  <c r="J12" i="23" s="1"/>
  <c r="K23" i="26"/>
  <c r="K28" i="26"/>
  <c r="L39" i="26"/>
  <c r="L47" i="26"/>
  <c r="J12" i="25" s="1"/>
  <c r="K18" i="26"/>
  <c r="L34" i="26"/>
  <c r="L40" i="26" s="1"/>
  <c r="D16" i="25" s="1"/>
  <c r="K18" i="24"/>
  <c r="L34" i="24"/>
  <c r="K29" i="22"/>
  <c r="D15" i="21" s="1"/>
  <c r="K18" i="22"/>
  <c r="L34" i="22"/>
  <c r="L40" i="22" s="1"/>
  <c r="K18" i="20"/>
  <c r="L34" i="20"/>
  <c r="L40" i="20" s="1"/>
  <c r="D16" i="19" s="1"/>
  <c r="L34" i="18"/>
  <c r="L34" i="16"/>
  <c r="L40" i="16" s="1"/>
  <c r="D16" i="15" s="1"/>
  <c r="K18" i="14"/>
  <c r="L34" i="14"/>
  <c r="L40" i="14" s="1"/>
  <c r="D16" i="13" s="1"/>
  <c r="K18" i="12"/>
  <c r="L34" i="12"/>
  <c r="L40" i="12" s="1"/>
  <c r="D16" i="11" s="1"/>
  <c r="K18" i="10"/>
  <c r="L34" i="8"/>
  <c r="K29" i="6"/>
  <c r="D15" i="5" s="1"/>
  <c r="L34" i="6"/>
  <c r="K18" i="4"/>
  <c r="L34" i="4"/>
  <c r="L40" i="4"/>
  <c r="K79" i="22" l="1"/>
  <c r="K79" i="18"/>
  <c r="K79" i="14"/>
  <c r="L40" i="8"/>
  <c r="D16" i="7" s="1"/>
  <c r="L40" i="18"/>
  <c r="D16" i="17" s="1"/>
  <c r="L80" i="24"/>
  <c r="K29" i="26"/>
  <c r="D15" i="25" s="1"/>
  <c r="D17" i="25" s="1"/>
  <c r="J6" i="25" s="1"/>
  <c r="J11" i="25" s="1"/>
  <c r="K79" i="4"/>
  <c r="K29" i="20"/>
  <c r="D15" i="19" s="1"/>
  <c r="D17" i="19" s="1"/>
  <c r="J6" i="19" s="1"/>
  <c r="J11" i="19" s="1"/>
  <c r="K29" i="16"/>
  <c r="D15" i="15" s="1"/>
  <c r="K29" i="12"/>
  <c r="D15" i="11" s="1"/>
  <c r="D17" i="11" s="1"/>
  <c r="J6" i="11" s="1"/>
  <c r="J11" i="11" s="1"/>
  <c r="K79" i="10"/>
  <c r="K79" i="24"/>
  <c r="K79" i="20"/>
  <c r="L40" i="6"/>
  <c r="D16" i="5" s="1"/>
  <c r="D17" i="5"/>
  <c r="J6" i="5" s="1"/>
  <c r="J11" i="5" s="1"/>
  <c r="L80" i="10"/>
  <c r="D16" i="9"/>
  <c r="D17" i="9" s="1"/>
  <c r="J6" i="9" s="1"/>
  <c r="J11" i="9" s="1"/>
  <c r="L80" i="22"/>
  <c r="D16" i="21"/>
  <c r="K29" i="8"/>
  <c r="D15" i="7" s="1"/>
  <c r="D17" i="7" s="1"/>
  <c r="J6" i="7" s="1"/>
  <c r="J11" i="7" s="1"/>
  <c r="L80" i="4"/>
  <c r="D16" i="3"/>
  <c r="D17" i="3" s="1"/>
  <c r="J6" i="3" s="1"/>
  <c r="J11" i="3" s="1"/>
  <c r="D17" i="21"/>
  <c r="J6" i="21" s="1"/>
  <c r="J11" i="21" s="1"/>
  <c r="D17" i="23"/>
  <c r="J6" i="23" s="1"/>
  <c r="J11" i="23" s="1"/>
  <c r="D17" i="17"/>
  <c r="J6" i="17" s="1"/>
  <c r="J11" i="17" s="1"/>
  <c r="D17" i="15"/>
  <c r="J6" i="15" s="1"/>
  <c r="J11" i="15" s="1"/>
  <c r="D17" i="13"/>
  <c r="J6" i="13" s="1"/>
  <c r="J11" i="13" s="1"/>
  <c r="L80" i="26"/>
  <c r="D18" i="25"/>
  <c r="D19" i="25" s="1"/>
  <c r="J19" i="25" s="1"/>
  <c r="J4" i="25" s="1"/>
  <c r="D18" i="23"/>
  <c r="D19" i="23" s="1"/>
  <c r="J19" i="23" s="1"/>
  <c r="J4" i="23" s="1"/>
  <c r="D18" i="21"/>
  <c r="D19" i="21" s="1"/>
  <c r="J19" i="21" s="1"/>
  <c r="J4" i="21" s="1"/>
  <c r="L80" i="20"/>
  <c r="D18" i="19"/>
  <c r="D19" i="19" s="1"/>
  <c r="J19" i="19" s="1"/>
  <c r="J4" i="19" s="1"/>
  <c r="L80" i="18"/>
  <c r="D18" i="17"/>
  <c r="D19" i="17" s="1"/>
  <c r="J19" i="17" s="1"/>
  <c r="J4" i="17" s="1"/>
  <c r="L80" i="16"/>
  <c r="D18" i="15"/>
  <c r="D19" i="15" s="1"/>
  <c r="J19" i="15" s="1"/>
  <c r="J4" i="15" s="1"/>
  <c r="K79" i="6"/>
  <c r="L80" i="14"/>
  <c r="D18" i="13"/>
  <c r="D19" i="13" s="1"/>
  <c r="J19" i="13" s="1"/>
  <c r="J4" i="13" s="1"/>
  <c r="L80" i="12"/>
  <c r="D18" i="11"/>
  <c r="D19" i="11" s="1"/>
  <c r="J19" i="11" s="1"/>
  <c r="J4" i="11" s="1"/>
  <c r="D18" i="9"/>
  <c r="D19" i="9" s="1"/>
  <c r="J19" i="9" s="1"/>
  <c r="J4" i="9" s="1"/>
  <c r="L80" i="8"/>
  <c r="D18" i="7"/>
  <c r="D19" i="7" s="1"/>
  <c r="J19" i="7" s="1"/>
  <c r="J4" i="7" s="1"/>
  <c r="D18" i="5"/>
  <c r="D19" i="5" s="1"/>
  <c r="J19" i="5" s="1"/>
  <c r="J4" i="5" s="1"/>
  <c r="D18" i="3"/>
  <c r="D19" i="3" s="1"/>
  <c r="J19" i="3" s="1"/>
  <c r="J4" i="3" s="1"/>
  <c r="K79" i="12" l="1"/>
  <c r="K79" i="8"/>
  <c r="K79" i="26"/>
  <c r="L80" i="6"/>
  <c r="K7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BCBB2D96-117F-4324-BD73-0D91626CA51A}">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E6422BE-BEE4-407B-B3D1-21526738D0E5}">
      <text>
        <r>
          <rPr>
            <sz val="9"/>
            <color indexed="81"/>
            <rFont val="游ゴシック Light"/>
            <family val="3"/>
            <charset val="128"/>
            <scheme val="major"/>
          </rPr>
          <t>前月以前の未請求を当月請求したものを記載してください。</t>
        </r>
      </text>
    </comment>
    <comment ref="A30" authorId="0" shapeId="0" xr:uid="{AE059BB9-8EAC-4E46-A6BE-EA7626FF99E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0D6DC044-2BBA-4C72-834B-C90AC2CD29E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88A3CC0-4AAC-430A-83DA-A52370A7648F}">
      <text>
        <r>
          <rPr>
            <sz val="9"/>
            <color indexed="81"/>
            <rFont val="游ゴシック Light"/>
            <family val="3"/>
            <charset val="128"/>
            <scheme val="major"/>
          </rPr>
          <t>前月以前の未請求を当月請求したものを記載してください。</t>
        </r>
      </text>
    </comment>
    <comment ref="A30" authorId="0" shapeId="0" xr:uid="{636FAD50-CB47-4E54-B086-03DBD0BDD05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8783E06-DD89-4360-B141-D128B657CCAF}">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465C6F48-2FB3-488B-8A51-27DD2FB534C9}">
      <text>
        <r>
          <rPr>
            <sz val="9"/>
            <color indexed="81"/>
            <rFont val="游ゴシック Light"/>
            <family val="3"/>
            <charset val="128"/>
            <scheme val="major"/>
          </rPr>
          <t>前月以前の未請求を当月請求したものを記載してください。</t>
        </r>
      </text>
    </comment>
    <comment ref="A30" authorId="0" shapeId="0" xr:uid="{F01FB5C4-7A67-4F49-B5FA-39FBF735C4A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5B42A15-F0C1-4DD5-8BA6-8CBA51B1BD8E}">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8EC41E7-9656-4CA7-B51B-9B6CD5C4DF8C}">
      <text>
        <r>
          <rPr>
            <sz val="9"/>
            <color indexed="81"/>
            <rFont val="游ゴシック Light"/>
            <family val="3"/>
            <charset val="128"/>
            <scheme val="major"/>
          </rPr>
          <t>前月以前の未請求を当月請求したものを記載してください。</t>
        </r>
      </text>
    </comment>
    <comment ref="A30" authorId="0" shapeId="0" xr:uid="{E0C335BD-AA65-40E4-958D-8ADCA092CAFA}">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F551278-2E9B-4452-B80D-A96D28A81A99}">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6112C61-C9E3-47EC-AAFF-103FC1B28000}">
      <text>
        <r>
          <rPr>
            <sz val="9"/>
            <color indexed="81"/>
            <rFont val="游ゴシック Light"/>
            <family val="3"/>
            <charset val="128"/>
            <scheme val="major"/>
          </rPr>
          <t>前月以前の未請求を当月請求したものを記載してください。</t>
        </r>
      </text>
    </comment>
    <comment ref="A30" authorId="0" shapeId="0" xr:uid="{4E8D0B7F-6805-4859-A1BE-63E042DCC2B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2908984-D411-4878-9027-DA059DE2B042}">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C85DA3B-F326-4FC8-9A1F-F523C545C14A}">
      <text>
        <r>
          <rPr>
            <sz val="9"/>
            <color indexed="81"/>
            <rFont val="游ゴシック Light"/>
            <family val="3"/>
            <charset val="128"/>
            <scheme val="major"/>
          </rPr>
          <t>前月以前の未請求を当月請求したものを記載してください。</t>
        </r>
      </text>
    </comment>
    <comment ref="A30" authorId="0" shapeId="0" xr:uid="{5C6B1527-9FB7-417F-AD62-6D5A0CE8AEC9}">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3B973E8E-FACA-46D1-AAD4-7F1204F2B2F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9850ABAA-845E-4813-82DD-6842AC2CD0CB}">
      <text>
        <r>
          <rPr>
            <sz val="9"/>
            <color indexed="81"/>
            <rFont val="游ゴシック Light"/>
            <family val="3"/>
            <charset val="128"/>
            <scheme val="major"/>
          </rPr>
          <t>前月以前の未請求を当月請求したものを記載してください。</t>
        </r>
      </text>
    </comment>
    <comment ref="A30" authorId="0" shapeId="0" xr:uid="{0AB82062-9247-4C39-A604-4F38DCE4AB1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B094CEC-D9AC-4B29-97C3-8DB1BEA6C72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7129FD3-D820-43DA-8BC4-0E3342E8DF30}">
      <text>
        <r>
          <rPr>
            <sz val="9"/>
            <color indexed="81"/>
            <rFont val="游ゴシック Light"/>
            <family val="3"/>
            <charset val="128"/>
            <scheme val="major"/>
          </rPr>
          <t>前月以前の未請求を当月請求したものを記載してください。</t>
        </r>
      </text>
    </comment>
    <comment ref="A30" authorId="0" shapeId="0" xr:uid="{8D7F3C1E-1E4F-4529-A5FF-9501E86E5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08F963-739A-4D3E-B6B2-E731D2115AB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E7869E10-6FAE-487B-9836-319C7DF332C9}">
      <text>
        <r>
          <rPr>
            <sz val="9"/>
            <color indexed="81"/>
            <rFont val="游ゴシック Light"/>
            <family val="3"/>
            <charset val="128"/>
            <scheme val="major"/>
          </rPr>
          <t>前月以前の未請求を当月請求したものを記載してください。</t>
        </r>
      </text>
    </comment>
    <comment ref="A30" authorId="0" shapeId="0" xr:uid="{5040A0F0-E630-4CC7-9DF5-C6EA330515B2}">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E6DF8C-4138-4446-A836-ACBA4FD47DA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25D5919-BCED-4041-8112-AA158542BF9D}">
      <text>
        <r>
          <rPr>
            <sz val="9"/>
            <color indexed="81"/>
            <rFont val="游ゴシック Light"/>
            <family val="3"/>
            <charset val="128"/>
            <scheme val="major"/>
          </rPr>
          <t>前月以前の未請求を当月請求したものを記載してください。</t>
        </r>
      </text>
    </comment>
    <comment ref="A30" authorId="0" shapeId="0" xr:uid="{A21732FF-48A7-4497-A0C4-E542EECCA3F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C9D9532E-FC34-47F2-8313-B2A2CD8114B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51BA282-8BF5-4070-95A8-C59AAB2CA17E}">
      <text>
        <r>
          <rPr>
            <sz val="9"/>
            <color indexed="81"/>
            <rFont val="游ゴシック Light"/>
            <family val="3"/>
            <charset val="128"/>
            <scheme val="major"/>
          </rPr>
          <t>前月以前の未請求を当月請求したものを記載してください。</t>
        </r>
      </text>
    </comment>
    <comment ref="A30" authorId="0" shapeId="0" xr:uid="{A2079799-3B47-4355-8F3B-4C2ED480B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C68A224-6155-446F-8CAD-A7B0C1B348A3}">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73B9D01-BAE0-4375-91A4-C5B4DD99046A}">
      <text>
        <r>
          <rPr>
            <sz val="9"/>
            <color indexed="81"/>
            <rFont val="游ゴシック Light"/>
            <family val="3"/>
            <charset val="128"/>
            <scheme val="major"/>
          </rPr>
          <t>前月以前の未請求を当月請求したものを記載してください。</t>
        </r>
      </text>
    </comment>
    <comment ref="A30" authorId="0" shapeId="0" xr:uid="{E1353C34-B0FB-4E4B-9DF7-F0ABF982F95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<sst xmlns="http://schemas.openxmlformats.org/spreadsheetml/2006/main" count="1483" uniqueCount="157">
  <si>
    <t>対象決算期</t>
    <rPh sb="0" eb="2">
      <t>タイショウ</t>
    </rPh>
    <rPh sb="2" eb="4">
      <t>ケッサン</t>
    </rPh>
    <rPh sb="4" eb="5">
      <t>キ</t>
    </rPh>
    <phoneticPr fontId="3"/>
  </si>
  <si>
    <t>薬局名</t>
    <rPh sb="0" eb="3">
      <t>ヤッキョクメイ</t>
    </rPh>
    <phoneticPr fontId="3"/>
  </si>
  <si>
    <t>請求時管理</t>
    <rPh sb="0" eb="3">
      <t>セイキュウ</t>
    </rPh>
    <rPh sb="3" eb="5">
      <t>カンリ</t>
    </rPh>
    <phoneticPr fontId="3"/>
  </si>
  <si>
    <t>調剤報酬集計表</t>
    <rPh sb="0" eb="4">
      <t>チョウザイホウシュウ</t>
    </rPh>
    <rPh sb="4" eb="7">
      <t>シュウケイヒョウ</t>
    </rPh>
    <phoneticPr fontId="3"/>
  </si>
  <si>
    <t>社保請求</t>
    <rPh sb="0" eb="2">
      <t>シャホ</t>
    </rPh>
    <rPh sb="2" eb="4">
      <t>セイキュウ</t>
    </rPh>
    <phoneticPr fontId="3"/>
  </si>
  <si>
    <t>国保請求</t>
    <rPh sb="0" eb="2">
      <t>コクホ</t>
    </rPh>
    <rPh sb="2" eb="4">
      <t>セイキュウ</t>
    </rPh>
    <phoneticPr fontId="3"/>
  </si>
  <si>
    <t>連記請求</t>
    <rPh sb="0" eb="4">
      <t>レンキセイキュウ</t>
    </rPh>
    <phoneticPr fontId="3"/>
  </si>
  <si>
    <t>労災請求</t>
    <rPh sb="0" eb="2">
      <t>ロウサイ</t>
    </rPh>
    <rPh sb="2" eb="4">
      <t>セイキュウ</t>
    </rPh>
    <phoneticPr fontId="3"/>
  </si>
  <si>
    <t>公害請求</t>
    <rPh sb="0" eb="2">
      <t>コウガイ</t>
    </rPh>
    <rPh sb="2" eb="4">
      <t>セイキュウ</t>
    </rPh>
    <phoneticPr fontId="3"/>
  </si>
  <si>
    <t>自賠請求</t>
    <rPh sb="0" eb="2">
      <t>ジバイ</t>
    </rPh>
    <rPh sb="2" eb="4">
      <t>セイキュウ</t>
    </rPh>
    <phoneticPr fontId="3"/>
  </si>
  <si>
    <t>介護請求</t>
    <rPh sb="0" eb="4">
      <t>カイゴセイキュウ</t>
    </rPh>
    <phoneticPr fontId="3"/>
  </si>
  <si>
    <t>その他（）</t>
    <rPh sb="2" eb="3">
      <t>タ</t>
    </rPh>
    <phoneticPr fontId="3"/>
  </si>
  <si>
    <t>入金額管理</t>
    <rPh sb="0" eb="2">
      <t>ニュウキn</t>
    </rPh>
    <rPh sb="2" eb="5">
      <t>ガク</t>
    </rPh>
    <phoneticPr fontId="3"/>
  </si>
  <si>
    <t>請求入金差額</t>
    <rPh sb="0" eb="6">
      <t>セイキュウ</t>
    </rPh>
    <phoneticPr fontId="3"/>
  </si>
  <si>
    <t>キー</t>
    <phoneticPr fontId="3"/>
  </si>
  <si>
    <t>決算期</t>
    <rPh sb="0" eb="3">
      <t>ケッサn</t>
    </rPh>
    <phoneticPr fontId="3"/>
  </si>
  <si>
    <t>区分</t>
    <rPh sb="0" eb="2">
      <t>クブn</t>
    </rPh>
    <phoneticPr fontId="3"/>
  </si>
  <si>
    <t>調剤月</t>
    <rPh sb="0" eb="3">
      <t>チョウザイ</t>
    </rPh>
    <phoneticPr fontId="3"/>
  </si>
  <si>
    <t>返戻月</t>
    <rPh sb="0" eb="3">
      <t>ヘンレイ</t>
    </rPh>
    <phoneticPr fontId="3"/>
  </si>
  <si>
    <t>再請求月</t>
    <rPh sb="0" eb="3">
      <t>サイセイ</t>
    </rPh>
    <phoneticPr fontId="3"/>
  </si>
  <si>
    <t>患者番号</t>
    <rPh sb="0" eb="2">
      <t>カンジャ</t>
    </rPh>
    <rPh sb="2" eb="4">
      <t>バンゴウ</t>
    </rPh>
    <phoneticPr fontId="3"/>
  </si>
  <si>
    <t>請求時金額</t>
    <rPh sb="0" eb="3">
      <t>セイキュウ</t>
    </rPh>
    <rPh sb="3" eb="5">
      <t>キンガク</t>
    </rPh>
    <phoneticPr fontId="3"/>
  </si>
  <si>
    <t>入金額</t>
    <rPh sb="0" eb="2">
      <t>ジテゥ</t>
    </rPh>
    <rPh sb="2" eb="3">
      <t>ガク</t>
    </rPh>
    <phoneticPr fontId="3"/>
  </si>
  <si>
    <t>再請求時金額</t>
    <rPh sb="0" eb="4">
      <t>サイセイキュウジ</t>
    </rPh>
    <rPh sb="4" eb="6">
      <t>キンガク</t>
    </rPh>
    <phoneticPr fontId="3"/>
  </si>
  <si>
    <t>請求差額</t>
    <rPh sb="0" eb="4">
      <t>セイキュウ</t>
    </rPh>
    <phoneticPr fontId="3"/>
  </si>
  <si>
    <t>請求先</t>
    <rPh sb="0" eb="3">
      <t>セイキュウ</t>
    </rPh>
    <phoneticPr fontId="3"/>
  </si>
  <si>
    <t>再請求先</t>
    <rPh sb="0" eb="1">
      <t xml:space="preserve">サイ </t>
    </rPh>
    <rPh sb="1" eb="4">
      <t>サイセイ</t>
    </rPh>
    <phoneticPr fontId="3"/>
  </si>
  <si>
    <t>請求状況</t>
    <rPh sb="0" eb="4">
      <t>セイキュウ</t>
    </rPh>
    <phoneticPr fontId="3"/>
  </si>
  <si>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3"/>
  </si>
  <si>
    <t>4月10日請求分</t>
    <rPh sb="1" eb="2">
      <t>ツキ</t>
    </rPh>
    <rPh sb="4" eb="5">
      <t>ヒ</t>
    </rPh>
    <rPh sb="5" eb="7">
      <t>セイキュウ</t>
    </rPh>
    <rPh sb="7" eb="8">
      <t>フン</t>
    </rPh>
    <phoneticPr fontId="3"/>
  </si>
  <si>
    <t>① 調剤報酬集計表</t>
    <rPh sb="8" eb="9">
      <t>ヒョウ</t>
    </rPh>
    <phoneticPr fontId="3"/>
  </si>
  <si>
    <t>⑲最終不明金　</t>
    <rPh sb="1" eb="3">
      <t>サイシュウ</t>
    </rPh>
    <rPh sb="3" eb="6">
      <t>フメイキン</t>
    </rPh>
    <phoneticPr fontId="3"/>
  </si>
  <si>
    <t>② 請求確定表</t>
    <rPh sb="2" eb="4">
      <t>セイキュウ</t>
    </rPh>
    <rPh sb="4" eb="6">
      <t>カクテイ</t>
    </rPh>
    <rPh sb="6" eb="7">
      <t>ヒョウ</t>
    </rPh>
    <phoneticPr fontId="3"/>
  </si>
  <si>
    <t>③入金額</t>
    <rPh sb="1" eb="3">
      <t>ニュウキン</t>
    </rPh>
    <rPh sb="3" eb="4">
      <t>ガク</t>
    </rPh>
    <phoneticPr fontId="3"/>
  </si>
  <si>
    <t>差　額　［⑧-①］</t>
    <rPh sb="0" eb="1">
      <t>サ</t>
    </rPh>
    <phoneticPr fontId="3"/>
  </si>
  <si>
    <t>社保請求</t>
    <rPh sb="0" eb="1">
      <t>シャ</t>
    </rPh>
    <rPh sb="1" eb="2">
      <t>ホ</t>
    </rPh>
    <rPh sb="2" eb="4">
      <t>セイキュウ</t>
    </rPh>
    <phoneticPr fontId="3"/>
  </si>
  <si>
    <t>理由</t>
    <rPh sb="0" eb="2">
      <t>リユウ</t>
    </rPh>
    <phoneticPr fontId="3"/>
  </si>
  <si>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3"/>
  </si>
  <si>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3"/>
  </si>
  <si>
    <t>連記請求</t>
    <rPh sb="0" eb="2">
      <t>レンキ</t>
    </rPh>
    <rPh sb="2" eb="4">
      <t>セイキュウ</t>
    </rPh>
    <phoneticPr fontId="3"/>
  </si>
  <si>
    <t>⑥その他1(                                       )</t>
    <rPh sb="3" eb="4">
      <t>タ</t>
    </rPh>
    <phoneticPr fontId="3"/>
  </si>
  <si>
    <t>⑦その他2(                                       )</t>
    <rPh sb="3" eb="4">
      <t>タ</t>
    </rPh>
    <phoneticPr fontId="3"/>
  </si>
  <si>
    <t>不明金　［差額－（④＋⑤＋⑥＋⑦）］</t>
    <rPh sb="0" eb="3">
      <t>フメイキン</t>
    </rPh>
    <rPh sb="5" eb="7">
      <t>サガク</t>
    </rPh>
    <phoneticPr fontId="3"/>
  </si>
  <si>
    <t>※シートBに入力すると自動計算される</t>
    <phoneticPr fontId="3"/>
  </si>
  <si>
    <t>⑫医保　返　戻　・　査　定</t>
    <rPh sb="4" eb="5">
      <t>ヘン</t>
    </rPh>
    <rPh sb="6" eb="7">
      <t>モドリ</t>
    </rPh>
    <rPh sb="10" eb="11">
      <t>サ</t>
    </rPh>
    <rPh sb="12" eb="13">
      <t>サダム</t>
    </rPh>
    <phoneticPr fontId="3"/>
  </si>
  <si>
    <t>介護請求</t>
    <rPh sb="0" eb="2">
      <t>カイゴ</t>
    </rPh>
    <rPh sb="2" eb="4">
      <t>セイキュウ</t>
    </rPh>
    <phoneticPr fontId="3"/>
  </si>
  <si>
    <t>⑬医保　未請求扱い</t>
    <rPh sb="4" eb="7">
      <t>ミセイキュウ</t>
    </rPh>
    <rPh sb="7" eb="8">
      <t>アツカ</t>
    </rPh>
    <phoneticPr fontId="3"/>
  </si>
  <si>
    <t>その他（　　　　　　　　）</t>
    <rPh sb="2" eb="3">
      <t>タ</t>
    </rPh>
    <phoneticPr fontId="3"/>
  </si>
  <si>
    <t>⑭国保　返　戻　・　査　定</t>
    <rPh sb="4" eb="5">
      <t>ヘン</t>
    </rPh>
    <rPh sb="6" eb="7">
      <t>モドリ</t>
    </rPh>
    <rPh sb="10" eb="11">
      <t>サ</t>
    </rPh>
    <rPh sb="12" eb="13">
      <t>サダム</t>
    </rPh>
    <phoneticPr fontId="3"/>
  </si>
  <si>
    <t>⑩月遅れ請求分（再掲・合計）</t>
    <rPh sb="1" eb="3">
      <t>ツキオク</t>
    </rPh>
    <rPh sb="4" eb="6">
      <t>セイキュウ</t>
    </rPh>
    <rPh sb="6" eb="7">
      <t>フン</t>
    </rPh>
    <rPh sb="8" eb="10">
      <t>サイケイ</t>
    </rPh>
    <rPh sb="11" eb="13">
      <t>ゴウケイ</t>
    </rPh>
    <phoneticPr fontId="3"/>
  </si>
  <si>
    <t>※シートBに入力すると
自動計算される</t>
  </si>
  <si>
    <t>⑮国保　未請求扱い</t>
    <rPh sb="4" eb="7">
      <t>ミセイキュウ</t>
    </rPh>
    <rPh sb="7" eb="8">
      <t>アツカ</t>
    </rPh>
    <phoneticPr fontId="3"/>
  </si>
  <si>
    <t>⑪月送り分（合計）</t>
    <rPh sb="1" eb="2">
      <t>ツキ</t>
    </rPh>
    <rPh sb="2" eb="3">
      <t>オク</t>
    </rPh>
    <rPh sb="4" eb="5">
      <t>フン</t>
    </rPh>
    <rPh sb="6" eb="8">
      <t>ゴウケイ</t>
    </rPh>
    <phoneticPr fontId="3"/>
  </si>
  <si>
    <t>⑯介護　返　戻　・　保　留</t>
    <rPh sb="1" eb="3">
      <t>カイゴ</t>
    </rPh>
    <rPh sb="4" eb="5">
      <t>カエ</t>
    </rPh>
    <rPh sb="6" eb="7">
      <t>モドリ</t>
    </rPh>
    <rPh sb="10" eb="11">
      <t>ホ</t>
    </rPh>
    <rPh sb="12" eb="13">
      <t>トメ</t>
    </rPh>
    <phoneticPr fontId="3"/>
  </si>
  <si>
    <t>⑧当月調剤分の請求予定額</t>
    <rPh sb="1" eb="3">
      <t>トウゲツ</t>
    </rPh>
    <rPh sb="3" eb="5">
      <t>チョウザイ</t>
    </rPh>
    <rPh sb="5" eb="6">
      <t>ブン</t>
    </rPh>
    <rPh sb="7" eb="9">
      <t>セイキュウ</t>
    </rPh>
    <rPh sb="9" eb="11">
      <t>ヨテイ</t>
    </rPh>
    <rPh sb="11" eb="12">
      <t>ガク</t>
    </rPh>
    <phoneticPr fontId="3"/>
  </si>
  <si>
    <t>⑰その他（　　　　　　　　　　　　　　　　）</t>
    <rPh sb="3" eb="4">
      <t>タ</t>
    </rPh>
    <phoneticPr fontId="3"/>
  </si>
  <si>
    <t>⑨返戻再請求分（合計）</t>
    <rPh sb="1" eb="3">
      <t>ヘンレイ</t>
    </rPh>
    <rPh sb="3" eb="4">
      <t>サイ</t>
    </rPh>
    <rPh sb="4" eb="6">
      <t>セイキュウ</t>
    </rPh>
    <rPh sb="6" eb="7">
      <t>フン</t>
    </rPh>
    <rPh sb="8" eb="10">
      <t>ゴウケイ</t>
    </rPh>
    <phoneticPr fontId="3"/>
  </si>
  <si>
    <t>※シートBに入力すると
自動計算される</t>
    <phoneticPr fontId="3"/>
  </si>
  <si>
    <r>
      <t>⑱ 調剤報酬以外の入出金　※</t>
    </r>
    <r>
      <rPr>
        <b/>
        <sz val="8"/>
        <color rgb="FF0000FF"/>
        <rFont val="MS UI Gothic"/>
        <family val="3"/>
        <charset val="128"/>
      </rPr>
      <t>事務手数料</t>
    </r>
    <r>
      <rPr>
        <sz val="8"/>
        <rFont val="MS UI Gothic"/>
        <family val="3"/>
        <charset val="128"/>
      </rPr>
      <t>や電子証明書更新料等
　　（　　　　　　　　　　　　　　　）</t>
    </r>
    <phoneticPr fontId="3"/>
  </si>
  <si>
    <t>請求合計</t>
    <rPh sb="0" eb="2">
      <t>セイキュウ</t>
    </rPh>
    <rPh sb="2" eb="4">
      <t>ゴウケイ</t>
    </rPh>
    <phoneticPr fontId="3"/>
  </si>
  <si>
    <t>入金されるべき計</t>
    <rPh sb="0" eb="2">
      <t>ニュウキン</t>
    </rPh>
    <rPh sb="7" eb="8">
      <t>ケイ</t>
    </rPh>
    <phoneticPr fontId="3"/>
  </si>
  <si>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3"/>
  </si>
  <si>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3"/>
  </si>
  <si>
    <t>　なお、提出する報告書からは患者氏名を消してください。</t>
    <phoneticPr fontId="3"/>
  </si>
  <si>
    <t>区分</t>
    <rPh sb="0" eb="2">
      <t>クブン</t>
    </rPh>
    <phoneticPr fontId="3"/>
  </si>
  <si>
    <t>※患者氏名
（提出時消去）</t>
    <rPh sb="1" eb="3">
      <t>カンジャ</t>
    </rPh>
    <rPh sb="3" eb="5">
      <t>シメイ</t>
    </rPh>
    <rPh sb="7" eb="9">
      <t>テイシュツ</t>
    </rPh>
    <rPh sb="9" eb="10">
      <t>ジ</t>
    </rPh>
    <rPh sb="10" eb="12">
      <t>ショウキョ</t>
    </rPh>
    <phoneticPr fontId="3"/>
  </si>
  <si>
    <t>調剤月</t>
    <rPh sb="0" eb="2">
      <t>チョウザイ</t>
    </rPh>
    <rPh sb="2" eb="3">
      <t>ヅキ</t>
    </rPh>
    <phoneticPr fontId="3"/>
  </si>
  <si>
    <t>医療機関</t>
    <rPh sb="0" eb="2">
      <t>イリョウ</t>
    </rPh>
    <rPh sb="2" eb="4">
      <t>キカン</t>
    </rPh>
    <phoneticPr fontId="3"/>
  </si>
  <si>
    <t>請求先</t>
    <rPh sb="0" eb="2">
      <t>セイキュウ</t>
    </rPh>
    <rPh sb="2" eb="3">
      <t>サキ</t>
    </rPh>
    <phoneticPr fontId="3"/>
  </si>
  <si>
    <t>請求割合</t>
    <rPh sb="0" eb="2">
      <t>セイキュウ</t>
    </rPh>
    <rPh sb="2" eb="4">
      <t>ワリアイ</t>
    </rPh>
    <phoneticPr fontId="3"/>
  </si>
  <si>
    <t>請求
点数</t>
    <rPh sb="0" eb="2">
      <t>セイキュウ</t>
    </rPh>
    <rPh sb="3" eb="5">
      <t>テンスウ</t>
    </rPh>
    <phoneticPr fontId="3"/>
  </si>
  <si>
    <t>請求金額 (円)</t>
    <rPh sb="0" eb="2">
      <t>セイキュウ</t>
    </rPh>
    <rPh sb="2" eb="4">
      <t>キンガク</t>
    </rPh>
    <rPh sb="6" eb="7">
      <t>エン</t>
    </rPh>
    <phoneticPr fontId="3"/>
  </si>
  <si>
    <t>請求予定</t>
    <rPh sb="0" eb="2">
      <t>セイキュウ</t>
    </rPh>
    <rPh sb="2" eb="4">
      <t>ヨテイ</t>
    </rPh>
    <phoneticPr fontId="3"/>
  </si>
  <si>
    <t>当月請求</t>
    <rPh sb="0" eb="2">
      <t>トウゲツ</t>
    </rPh>
    <rPh sb="2" eb="4">
      <t>セイキュウ</t>
    </rPh>
    <phoneticPr fontId="3"/>
  </si>
  <si>
    <t>次月以降</t>
    <rPh sb="0" eb="2">
      <t>ジゲツ</t>
    </rPh>
    <rPh sb="2" eb="4">
      <t>イコウ</t>
    </rPh>
    <phoneticPr fontId="3"/>
  </si>
  <si>
    <t>例</t>
    <rPh sb="0" eb="1">
      <t>レイ</t>
    </rPh>
    <phoneticPr fontId="3"/>
  </si>
  <si>
    <t>33333</t>
    <phoneticPr fontId="3"/>
  </si>
  <si>
    <t>16.12</t>
    <phoneticPr fontId="3"/>
  </si>
  <si>
    <t>A医院</t>
    <rPh sb="1" eb="3">
      <t>イイン</t>
    </rPh>
    <phoneticPr fontId="3"/>
  </si>
  <si>
    <t>記号・番号誤り</t>
    <rPh sb="0" eb="2">
      <t>キゴウ</t>
    </rPh>
    <rPh sb="3" eb="5">
      <t>バンゴウ</t>
    </rPh>
    <rPh sb="5" eb="6">
      <t>アヤマ</t>
    </rPh>
    <phoneticPr fontId="3"/>
  </si>
  <si>
    <t>医本→医本</t>
    <rPh sb="0" eb="1">
      <t>イ</t>
    </rPh>
    <rPh sb="1" eb="2">
      <t>ホン</t>
    </rPh>
    <rPh sb="3" eb="4">
      <t>イ</t>
    </rPh>
    <rPh sb="4" eb="5">
      <t>ホン</t>
    </rPh>
    <phoneticPr fontId="3"/>
  </si>
  <si>
    <t>4/1現在連絡とれず</t>
    <rPh sb="3" eb="5">
      <t>ゲンザイ</t>
    </rPh>
    <rPh sb="5" eb="7">
      <t>レンラク</t>
    </rPh>
    <phoneticPr fontId="3"/>
  </si>
  <si>
    <t>12345</t>
    <phoneticPr fontId="3"/>
  </si>
  <si>
    <t>17.02</t>
    <phoneticPr fontId="3"/>
  </si>
  <si>
    <t>B医院</t>
    <rPh sb="1" eb="3">
      <t>イイン</t>
    </rPh>
    <phoneticPr fontId="3"/>
  </si>
  <si>
    <t>保険変更</t>
    <rPh sb="0" eb="2">
      <t>ホケン</t>
    </rPh>
    <rPh sb="2" eb="4">
      <t>ヘンコウ</t>
    </rPh>
    <phoneticPr fontId="3"/>
  </si>
  <si>
    <t>国家→医本</t>
    <rPh sb="0" eb="2">
      <t>コッカ</t>
    </rPh>
    <rPh sb="3" eb="4">
      <t>イ</t>
    </rPh>
    <rPh sb="4" eb="5">
      <t>ボン</t>
    </rPh>
    <phoneticPr fontId="3"/>
  </si>
  <si>
    <t>5/10</t>
    <phoneticPr fontId="3"/>
  </si>
  <si>
    <t>⑨返戻再請求分</t>
    <rPh sb="6" eb="7">
      <t>フン</t>
    </rPh>
    <phoneticPr fontId="3"/>
  </si>
  <si>
    <t>医保</t>
    <rPh sb="0" eb="1">
      <t>イ</t>
    </rPh>
    <rPh sb="1" eb="2">
      <t>ホ</t>
    </rPh>
    <phoneticPr fontId="3"/>
  </si>
  <si>
    <t>⑨返戻分再請求分（医保）</t>
    <rPh sb="7" eb="8">
      <t>フン</t>
    </rPh>
    <rPh sb="9" eb="10">
      <t>イ</t>
    </rPh>
    <rPh sb="10" eb="11">
      <t>ホ</t>
    </rPh>
    <phoneticPr fontId="3"/>
  </si>
  <si>
    <t>小計</t>
    <rPh sb="0" eb="2">
      <t>ショウケイ</t>
    </rPh>
    <phoneticPr fontId="3"/>
  </si>
  <si>
    <t>国保</t>
    <rPh sb="0" eb="2">
      <t>コクホ</t>
    </rPh>
    <phoneticPr fontId="3"/>
  </si>
  <si>
    <t>⑨返戻分再請求分（国保）</t>
    <rPh sb="7" eb="8">
      <t>フン</t>
    </rPh>
    <rPh sb="9" eb="10">
      <t>クニ</t>
    </rPh>
    <rPh sb="10" eb="11">
      <t>ホ</t>
    </rPh>
    <phoneticPr fontId="3"/>
  </si>
  <si>
    <t>⑨返戻分再請求分</t>
    <rPh sb="7" eb="8">
      <t>フン</t>
    </rPh>
    <phoneticPr fontId="3"/>
  </si>
  <si>
    <t>合計</t>
    <rPh sb="0" eb="2">
      <t>ゴウケイ</t>
    </rPh>
    <phoneticPr fontId="3"/>
  </si>
  <si>
    <t>⑩月遅れ請求分</t>
    <rPh sb="6" eb="7">
      <t>フン</t>
    </rPh>
    <phoneticPr fontId="3"/>
  </si>
  <si>
    <t>⑩月遅れ請求分（医保）</t>
    <rPh sb="6" eb="7">
      <t>フン</t>
    </rPh>
    <rPh sb="8" eb="9">
      <t>イ</t>
    </rPh>
    <rPh sb="9" eb="10">
      <t>ホ</t>
    </rPh>
    <phoneticPr fontId="3"/>
  </si>
  <si>
    <t>⑩月遅れ請求分（国保）</t>
    <rPh sb="6" eb="7">
      <t>フン</t>
    </rPh>
    <rPh sb="8" eb="9">
      <t>クニ</t>
    </rPh>
    <rPh sb="9" eb="10">
      <t>ホ</t>
    </rPh>
    <phoneticPr fontId="3"/>
  </si>
  <si>
    <t>⑩月遅れ請求分</t>
    <phoneticPr fontId="3"/>
  </si>
  <si>
    <t>⑪月送り分</t>
    <rPh sb="1" eb="3">
      <t>ツキオク</t>
    </rPh>
    <rPh sb="4" eb="5">
      <t>フン</t>
    </rPh>
    <phoneticPr fontId="3"/>
  </si>
  <si>
    <t>⑪月送り分（医保）</t>
    <rPh sb="1" eb="2">
      <t>ツキ</t>
    </rPh>
    <rPh sb="2" eb="3">
      <t>オク</t>
    </rPh>
    <rPh sb="4" eb="5">
      <t>フン</t>
    </rPh>
    <rPh sb="6" eb="7">
      <t>イ</t>
    </rPh>
    <rPh sb="7" eb="8">
      <t>ホ</t>
    </rPh>
    <phoneticPr fontId="3"/>
  </si>
  <si>
    <t>⑪月送り分（国保）</t>
    <rPh sb="6" eb="7">
      <t>クニ</t>
    </rPh>
    <rPh sb="7" eb="8">
      <t>ホ</t>
    </rPh>
    <phoneticPr fontId="3"/>
  </si>
  <si>
    <t>⑪月送り分</t>
    <phoneticPr fontId="3"/>
  </si>
  <si>
    <t>⑫医保　返戻・査定</t>
    <rPh sb="1" eb="2">
      <t>イ</t>
    </rPh>
    <rPh sb="2" eb="3">
      <t>ホ</t>
    </rPh>
    <phoneticPr fontId="3"/>
  </si>
  <si>
    <t>⑪社保　返戻・査定</t>
    <rPh sb="1" eb="3">
      <t>シャホ</t>
    </rPh>
    <phoneticPr fontId="3"/>
  </si>
  <si>
    <t>⑬医保　未請求扱い</t>
    <rPh sb="1" eb="2">
      <t>イ</t>
    </rPh>
    <rPh sb="2" eb="3">
      <t>ホ</t>
    </rPh>
    <phoneticPr fontId="3"/>
  </si>
  <si>
    <t>⑫社保　未請求扱い</t>
    <rPh sb="1" eb="3">
      <t>シャホ</t>
    </rPh>
    <phoneticPr fontId="3"/>
  </si>
  <si>
    <t>⑭国保 返戻・査定</t>
    <rPh sb="1" eb="3">
      <t>コクホ</t>
    </rPh>
    <phoneticPr fontId="3"/>
  </si>
  <si>
    <t>⑬国保　返戻・査定</t>
    <rPh sb="1" eb="3">
      <t>コクホ</t>
    </rPh>
    <phoneticPr fontId="3"/>
  </si>
  <si>
    <t>⑮国保　未請求扱い</t>
    <rPh sb="1" eb="3">
      <t>コクホ</t>
    </rPh>
    <phoneticPr fontId="3"/>
  </si>
  <si>
    <t>⑭国保　未請求扱い</t>
    <rPh sb="1" eb="3">
      <t>コクホ</t>
    </rPh>
    <phoneticPr fontId="3"/>
  </si>
  <si>
    <t>⑯介護　返戻・保留</t>
    <rPh sb="4" eb="6">
      <t>ヘンレイ</t>
    </rPh>
    <rPh sb="7" eb="9">
      <t>ホリュウ</t>
    </rPh>
    <phoneticPr fontId="3"/>
  </si>
  <si>
    <t>⑮介護　返戻・保留</t>
    <rPh sb="1" eb="3">
      <t>カイゴ</t>
    </rPh>
    <rPh sb="4" eb="6">
      <t>ヘンレイ</t>
    </rPh>
    <rPh sb="7" eb="9">
      <t>ホリュウ</t>
    </rPh>
    <phoneticPr fontId="3"/>
  </si>
  <si>
    <t>⑰その他</t>
    <rPh sb="3" eb="4">
      <t>タ</t>
    </rPh>
    <phoneticPr fontId="3"/>
  </si>
  <si>
    <t xml:space="preserve"> 　⑯その他</t>
    <rPh sb="5" eb="6">
      <t>タ</t>
    </rPh>
    <phoneticPr fontId="3"/>
  </si>
  <si>
    <t>　　　　　　　当月請求合計</t>
    <rPh sb="7" eb="9">
      <t>トウゲツ</t>
    </rPh>
    <rPh sb="9" eb="11">
      <t>セイキュウ</t>
    </rPh>
    <rPh sb="11" eb="13">
      <t>ゴウケイ</t>
    </rPh>
    <phoneticPr fontId="3"/>
  </si>
  <si>
    <t>　　　　　　　未請求金合計</t>
    <rPh sb="7" eb="10">
      <t>ミセイキュウ</t>
    </rPh>
    <rPh sb="10" eb="11">
      <t>キン</t>
    </rPh>
    <rPh sb="11" eb="13">
      <t>ゴウケイ</t>
    </rPh>
    <phoneticPr fontId="3"/>
  </si>
  <si>
    <t>5月10日請求分</t>
    <rPh sb="1" eb="2">
      <t>ツキ</t>
    </rPh>
    <rPh sb="4" eb="5">
      <t>ヒ</t>
    </rPh>
    <rPh sb="5" eb="7">
      <t>セイキュウ</t>
    </rPh>
    <rPh sb="7" eb="8">
      <t>フン</t>
    </rPh>
    <phoneticPr fontId="3"/>
  </si>
  <si>
    <t>6月10日請求分</t>
    <rPh sb="1" eb="2">
      <t>ツキ</t>
    </rPh>
    <rPh sb="4" eb="5">
      <t>ヒ</t>
    </rPh>
    <rPh sb="5" eb="7">
      <t>セイキュウ</t>
    </rPh>
    <rPh sb="7" eb="8">
      <t>フン</t>
    </rPh>
    <phoneticPr fontId="3"/>
  </si>
  <si>
    <t>7月10日請求分</t>
    <rPh sb="1" eb="2">
      <t>ツキ</t>
    </rPh>
    <rPh sb="4" eb="5">
      <t>ヒ</t>
    </rPh>
    <rPh sb="5" eb="7">
      <t>セイキュウ</t>
    </rPh>
    <rPh sb="7" eb="8">
      <t>フン</t>
    </rPh>
    <phoneticPr fontId="3"/>
  </si>
  <si>
    <t>8月10日請求分</t>
    <rPh sb="1" eb="2">
      <t>ツキ</t>
    </rPh>
    <rPh sb="4" eb="5">
      <t>ヒ</t>
    </rPh>
    <rPh sb="5" eb="7">
      <t>セイキュウ</t>
    </rPh>
    <rPh sb="7" eb="8">
      <t>フン</t>
    </rPh>
    <phoneticPr fontId="3"/>
  </si>
  <si>
    <t>9月10日請求分</t>
    <rPh sb="1" eb="2">
      <t>ツキ</t>
    </rPh>
    <rPh sb="4" eb="5">
      <t>ヒ</t>
    </rPh>
    <rPh sb="5" eb="7">
      <t>セイキュウ</t>
    </rPh>
    <rPh sb="7" eb="8">
      <t>フン</t>
    </rPh>
    <phoneticPr fontId="3"/>
  </si>
  <si>
    <t>10月10日請求分</t>
    <rPh sb="2" eb="3">
      <t>ツキ</t>
    </rPh>
    <rPh sb="5" eb="6">
      <t>ヒ</t>
    </rPh>
    <rPh sb="6" eb="8">
      <t>セイキュウ</t>
    </rPh>
    <rPh sb="8" eb="9">
      <t>フン</t>
    </rPh>
    <phoneticPr fontId="3"/>
  </si>
  <si>
    <t>11月10日請求分</t>
    <rPh sb="2" eb="3">
      <t>ツキ</t>
    </rPh>
    <rPh sb="5" eb="6">
      <t>ヒ</t>
    </rPh>
    <rPh sb="6" eb="8">
      <t>セイキュウ</t>
    </rPh>
    <rPh sb="8" eb="9">
      <t>フン</t>
    </rPh>
    <phoneticPr fontId="3"/>
  </si>
  <si>
    <t>12月10日請求分</t>
    <rPh sb="2" eb="3">
      <t>ツキ</t>
    </rPh>
    <rPh sb="5" eb="6">
      <t>ヒ</t>
    </rPh>
    <rPh sb="6" eb="8">
      <t>セイキュウ</t>
    </rPh>
    <rPh sb="8" eb="9">
      <t>フン</t>
    </rPh>
    <phoneticPr fontId="3"/>
  </si>
  <si>
    <t>1月10日請求分</t>
    <rPh sb="1" eb="2">
      <t>ツキ</t>
    </rPh>
    <rPh sb="4" eb="5">
      <t>ヒ</t>
    </rPh>
    <rPh sb="5" eb="7">
      <t>セイキュウ</t>
    </rPh>
    <rPh sb="7" eb="8">
      <t>フン</t>
    </rPh>
    <phoneticPr fontId="3"/>
  </si>
  <si>
    <t>2月10日請求分</t>
    <rPh sb="1" eb="2">
      <t>ツキ</t>
    </rPh>
    <rPh sb="4" eb="5">
      <t>ヒ</t>
    </rPh>
    <rPh sb="5" eb="7">
      <t>セイキュウ</t>
    </rPh>
    <rPh sb="7" eb="8">
      <t>フン</t>
    </rPh>
    <phoneticPr fontId="3"/>
  </si>
  <si>
    <t>3月10日請求分</t>
    <rPh sb="1" eb="2">
      <t>ツキ</t>
    </rPh>
    <rPh sb="4" eb="5">
      <t>ヒ</t>
    </rPh>
    <rPh sb="5" eb="7">
      <t>セイキュウ</t>
    </rPh>
    <rPh sb="7" eb="8">
      <t>フン</t>
    </rPh>
    <phoneticPr fontId="3"/>
  </si>
  <si>
    <t>保険請求管理報告書B理由</t>
    <rPh sb="0" eb="6">
      <t>ホケンセイキュウカンリ</t>
    </rPh>
    <rPh sb="6" eb="9">
      <t>ホウコクショ</t>
    </rPh>
    <rPh sb="10" eb="12">
      <t>リユウ</t>
    </rPh>
    <phoneticPr fontId="3"/>
  </si>
  <si>
    <t>保険変更</t>
    <rPh sb="0" eb="4">
      <t>ホケンヘンコウ</t>
    </rPh>
    <phoneticPr fontId="3"/>
  </si>
  <si>
    <t>記号・番号の誤り</t>
    <rPh sb="0" eb="2">
      <t>キゴウ</t>
    </rPh>
    <rPh sb="3" eb="5">
      <t>バンゴウ</t>
    </rPh>
    <rPh sb="6" eb="7">
      <t>アヤマ</t>
    </rPh>
    <phoneticPr fontId="3"/>
  </si>
  <si>
    <t>本人・家族の誤り</t>
    <rPh sb="0" eb="2">
      <t>ホンニン</t>
    </rPh>
    <rPh sb="3" eb="5">
      <t>カゾク</t>
    </rPh>
    <rPh sb="6" eb="7">
      <t>アヤマ</t>
    </rPh>
    <phoneticPr fontId="3"/>
  </si>
  <si>
    <t>負担割合の誤り</t>
    <rPh sb="0" eb="2">
      <t>フタン</t>
    </rPh>
    <rPh sb="2" eb="4">
      <t>ワリアイ</t>
    </rPh>
    <rPh sb="5" eb="6">
      <t>アヤマ</t>
    </rPh>
    <phoneticPr fontId="3"/>
  </si>
  <si>
    <t>資格喪失</t>
    <rPh sb="0" eb="4">
      <t>シカクソウシツ</t>
    </rPh>
    <phoneticPr fontId="3"/>
  </si>
  <si>
    <t>公費申請中</t>
    <rPh sb="0" eb="2">
      <t>コウヒ</t>
    </rPh>
    <rPh sb="2" eb="5">
      <t>シンセイチュウ</t>
    </rPh>
    <phoneticPr fontId="3"/>
  </si>
  <si>
    <t>調剤券請求中</t>
    <rPh sb="0" eb="2">
      <t>チョウザイ</t>
    </rPh>
    <rPh sb="2" eb="3">
      <t>ケン</t>
    </rPh>
    <rPh sb="3" eb="5">
      <t>セイキュウ</t>
    </rPh>
    <rPh sb="5" eb="6">
      <t>チュウ</t>
    </rPh>
    <phoneticPr fontId="3"/>
  </si>
  <si>
    <t>介護保険変更</t>
  </si>
  <si>
    <t>要介護状態区分の誤り</t>
    <phoneticPr fontId="3"/>
  </si>
  <si>
    <t>介護保険申請中</t>
  </si>
  <si>
    <t>介護券請求中</t>
  </si>
  <si>
    <t>② 請求確定表</t>
  </si>
  <si>
    <t>③入金額</t>
  </si>
  <si>
    <t>再請求管理</t>
    <rPh sb="0" eb="1">
      <t xml:space="preserve">サイ </t>
    </rPh>
    <rPh sb="1" eb="3">
      <t>セイキュウ</t>
    </rPh>
    <rPh sb="3" eb="5">
      <t>カンリ</t>
    </rPh>
    <phoneticPr fontId="3"/>
  </si>
  <si>
    <t>３月調剤分</t>
    <rPh sb="1" eb="2">
      <t>ガツ</t>
    </rPh>
    <rPh sb="2" eb="4">
      <t>チョウザイ</t>
    </rPh>
    <rPh sb="4" eb="5">
      <t>ブン</t>
    </rPh>
    <phoneticPr fontId="3"/>
  </si>
  <si>
    <t>４月調剤分</t>
    <rPh sb="1" eb="2">
      <t>ガツ</t>
    </rPh>
    <rPh sb="2" eb="4">
      <t>チョウザイ</t>
    </rPh>
    <rPh sb="4" eb="5">
      <t>ブン</t>
    </rPh>
    <phoneticPr fontId="3"/>
  </si>
  <si>
    <t>５月調剤分</t>
    <rPh sb="1" eb="2">
      <t>ガツ</t>
    </rPh>
    <rPh sb="2" eb="4">
      <t>チョウザイ</t>
    </rPh>
    <rPh sb="4" eb="5">
      <t>ブン</t>
    </rPh>
    <phoneticPr fontId="3"/>
  </si>
  <si>
    <t>６月調剤分</t>
    <rPh sb="1" eb="2">
      <t>ガツ</t>
    </rPh>
    <rPh sb="2" eb="4">
      <t>チョウザイ</t>
    </rPh>
    <rPh sb="4" eb="5">
      <t>ブン</t>
    </rPh>
    <phoneticPr fontId="3"/>
  </si>
  <si>
    <t>７月調剤分</t>
    <rPh sb="1" eb="2">
      <t>ガツ</t>
    </rPh>
    <rPh sb="2" eb="4">
      <t>チョウザイ</t>
    </rPh>
    <rPh sb="4" eb="5">
      <t>ブン</t>
    </rPh>
    <phoneticPr fontId="3"/>
  </si>
  <si>
    <t>８月調剤分</t>
    <rPh sb="1" eb="2">
      <t>ガツ</t>
    </rPh>
    <rPh sb="2" eb="4">
      <t>チョウザイ</t>
    </rPh>
    <rPh sb="4" eb="5">
      <t>ブン</t>
    </rPh>
    <phoneticPr fontId="3"/>
  </si>
  <si>
    <t>９月調剤分</t>
    <rPh sb="1" eb="2">
      <t>ガツ</t>
    </rPh>
    <rPh sb="2" eb="4">
      <t>チョウザイ</t>
    </rPh>
    <rPh sb="4" eb="5">
      <t>ブン</t>
    </rPh>
    <phoneticPr fontId="3"/>
  </si>
  <si>
    <t>１０月調剤分</t>
    <rPh sb="2" eb="3">
      <t>ガツ</t>
    </rPh>
    <rPh sb="3" eb="5">
      <t>チョウザイ</t>
    </rPh>
    <rPh sb="5" eb="6">
      <t>ブン</t>
    </rPh>
    <phoneticPr fontId="3"/>
  </si>
  <si>
    <t>１１月調剤分</t>
    <rPh sb="2" eb="3">
      <t>ガツ</t>
    </rPh>
    <rPh sb="3" eb="5">
      <t>チョウザイ</t>
    </rPh>
    <rPh sb="5" eb="6">
      <t>ブン</t>
    </rPh>
    <phoneticPr fontId="3"/>
  </si>
  <si>
    <t>１２月調剤分</t>
    <rPh sb="2" eb="3">
      <t>ガツ</t>
    </rPh>
    <rPh sb="3" eb="5">
      <t>チョウザイ</t>
    </rPh>
    <rPh sb="5" eb="6">
      <t>ブン</t>
    </rPh>
    <phoneticPr fontId="3"/>
  </si>
  <si>
    <t>１月調剤分</t>
    <rPh sb="1" eb="2">
      <t>ガツ</t>
    </rPh>
    <rPh sb="2" eb="5">
      <t>チョウザイブン</t>
    </rPh>
    <phoneticPr fontId="3"/>
  </si>
  <si>
    <t>２月調剤分</t>
    <rPh sb="1" eb="2">
      <t>ガツ</t>
    </rPh>
    <rPh sb="2" eb="5">
      <t>チョウザイブン</t>
    </rPh>
    <phoneticPr fontId="3"/>
  </si>
  <si>
    <t>神居３条店</t>
    <rPh sb="0" eb="2">
      <t>カムイ</t>
    </rPh>
    <rPh sb="3" eb="5">
      <t>ジョウテn</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</si>
</sst>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 &quot;¥&quot;* #,##0_ ;_ &quot;¥&quot;* \-#,##0_ ;_ &quot;¥&quot;* &quot;-&quot;_ ;_ @_ "/>
    <numFmt numFmtId="176" formatCode="0&quot;年&quot;\5&quot;月&quot;&quot;期&quot;"/>
    <numFmt numFmtId="177" formatCode="yyyy\-mm\-dd;@"/>
  </numFmts>
  <fonts count="32">
    <font>
      <sz val="11"/>
      <name val="ＭＳ Ｐゴシック"/>
      <family val="3"/>
      <charset val="128"/>
    </font>
    <font>
      <sz val="12"/>
      <color rgb="FF000000"/>
      <name val="游ゴシック"/>
      <family val="3"/>
      <charset val="128"/>
    </font>
    <font>
      <sz val="11"/>
      <name val="ＭＳ Ｐゴシック"/>
      <family val="3"/>
      <charset val="128"/>
    </font>
    <font>
      <sz val="6"/>
      <name val="ＭＳ Ｐゴシック"/>
      <family val="3"/>
      <charset val="128"/>
    </font>
    <font>
      <sz val="11"/>
      <color theme="0"/>
      <name val="ＭＳ Ｐゴシック"/>
      <family val="3"/>
      <charset val="128"/>
    </font>
    <font>
      <sz val="11"/>
      <name val="MS UI Gothic"/>
      <family val="3"/>
      <charset val="128"/>
    </font>
    <font>
      <b/>
      <u/>
      <sz val="16"/>
      <name val="MS UI Gothic"/>
      <family val="3"/>
      <charset val="128"/>
    </font>
    <font>
      <b/>
      <u/>
      <sz val="8"/>
      <name val="MS UI Gothic"/>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
      <b/>
      <sz val="11"/>
      <color theme="7" tint="-0.249977111117893"/>
      <name val="ＭＳ Ｐゴシック"/>
      <family val="3"/>
      <charset val="128"/>
    </font>
    <font>
      <sz val="11"/>
      <color theme="7" tint="-0.249977111117893"/>
      <name val="ＭＳ Ｐゴシック"/>
      <family val="3"/>
      <charset val="128"/>
    </font>
    <font>
      <b/>
      <sz val="11"/>
      <color theme="9" tint="-0.249977111117893"/>
      <name val="ＭＳ Ｐゴシック"/>
      <family val="3"/>
      <charset val="128"/>
    </font>
    <font>
      <sz val="11"/>
      <color theme="9" tint="-0.249977111117893"/>
      <name val="ＭＳ Ｐゴシック"/>
      <family val="3"/>
      <charset val="128"/>
    </font>
    <font>
      <b/>
      <sz val="11"/>
      <color theme="4" tint="-0.249977111117893"/>
      <name val="ＭＳ Ｐゴシック"/>
      <family val="3"/>
      <charset val="128"/>
    </font>
    <font>
      <sz val="11"/>
      <color theme="4" tint="-0.249977111117893"/>
      <name val="ＭＳ Ｐゴシック"/>
      <family val="3"/>
      <charset val="128"/>
    </font>
  </fonts>
  <fills count="24">
    <fill>
      <patternFill patternType="none"/>
    </fill>
    <fill>
      <patternFill patternType="gray125"/>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
      <patternFill patternType="solid">
        <fgColor theme="7" tint="0.79998168889431442"/>
        <bgColor theme="7" tint="0.79998168889431442"/>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
      <left/>
      <right/>
      <top/>
      <bottom style="thin">
        <color theme="7"/>
      </bottom>
      <diagonal/>
    </border>
    <border>
      <left/>
      <right/>
      <top style="thin">
        <color theme="7"/>
      </top>
      <bottom/>
      <diagonal/>
    </border>
    <border>
      <left/>
      <right/>
      <top style="thin">
        <color theme="9"/>
      </top>
      <bottom/>
      <diagonal/>
    </border>
    <border>
      <left/>
      <right/>
      <top style="thin">
        <color theme="4"/>
      </top>
      <bottom/>
      <diagonal/>
    </border>
  </borders>
  <cellStyleXfs count="3">
    <xf numFmtId="0" fontId="0" fillId="0" borderId="0">
      <alignment vertical="center"/>
    </xf>
    <xf numFmtId="0" fontId="2" fillId="0" borderId="0">
      <alignment vertical="center"/>
    </xf>
    <xf numFmtId="38" fontId="2" fillId="0" borderId="0" applyFont="0" applyFill="0" applyBorder="0" applyAlignment="0" applyProtection="0">
      <alignment vertical="center"/>
    </xf>
  </cellStyleXfs>
  <cellXfs count="261">
    <xf numFmtId="0" fontId="0" fillId="0" borderId="0" xfId="0">
      <alignment vertical="center"/>
    </xf>
    <xf numFmtId="0" fontId="0" fillId="2" borderId="1" xfId="0" applyFill="1" applyBorder="1">
      <alignment vertical="center"/>
    </xf>
    <xf numFmtId="38" fontId="5" fillId="0" borderId="0" xfId="1" applyNumberFormat="1" applyFont="1">
      <alignment vertical="center"/>
    </xf>
    <xf numFmtId="38" fontId="9" fillId="3" borderId="1" xfId="2" applyFont="1" applyFill="1" applyBorder="1" applyAlignment="1" applyProtection="1">
      <alignment horizontal="center" vertical="center"/>
      <protection locked="0"/>
    </xf>
    <xf numFmtId="38" fontId="9" fillId="3" borderId="1" xfId="2" applyFont="1" applyFill="1" applyBorder="1" applyAlignment="1" applyProtection="1">
      <alignment horizontal="right" vertical="center" shrinkToFit="1"/>
      <protection locked="0"/>
    </xf>
    <xf numFmtId="38" fontId="10" fillId="0" borderId="0" xfId="1" applyNumberFormat="1" applyFont="1">
      <alignment vertical="center"/>
    </xf>
    <xf numFmtId="38" fontId="11" fillId="0" borderId="0" xfId="1" applyNumberFormat="1" applyFont="1">
      <alignment vertical="center"/>
    </xf>
    <xf numFmtId="38" fontId="5" fillId="4" borderId="1" xfId="1" applyNumberFormat="1" applyFont="1" applyFill="1" applyBorder="1" applyProtection="1">
      <alignment vertical="center"/>
      <protection locked="0"/>
    </xf>
    <xf numFmtId="38" fontId="5" fillId="2" borderId="8" xfId="1" applyNumberFormat="1" applyFont="1" applyFill="1" applyBorder="1">
      <alignment vertical="center"/>
    </xf>
    <xf numFmtId="38" fontId="5" fillId="0" borderId="1" xfId="2" applyFont="1" applyFill="1" applyBorder="1" applyAlignment="1" applyProtection="1">
      <alignment horizontal="center" vertical="center"/>
    </xf>
    <xf numFmtId="38" fontId="5" fillId="0" borderId="0" xfId="1" applyNumberFormat="1" applyFont="1" applyAlignment="1">
      <alignment horizontal="center" vertical="center"/>
    </xf>
    <xf numFmtId="38" fontId="5" fillId="0" borderId="1" xfId="1" applyNumberFormat="1" applyFont="1" applyBorder="1" applyAlignment="1">
      <alignment horizontal="right" vertical="center"/>
    </xf>
    <xf numFmtId="38" fontId="5" fillId="3" borderId="1" xfId="2" applyFont="1" applyFill="1" applyBorder="1" applyAlignment="1" applyProtection="1">
      <alignment horizontal="right" vertical="center"/>
      <protection locked="0"/>
    </xf>
    <xf numFmtId="38" fontId="5" fillId="5" borderId="1" xfId="1" applyNumberFormat="1" applyFont="1" applyFill="1" applyBorder="1" applyProtection="1">
      <alignment vertical="center"/>
      <protection locked="0"/>
    </xf>
    <xf numFmtId="38" fontId="5" fillId="6" borderId="11" xfId="1" applyNumberFormat="1" applyFont="1" applyFill="1" applyBorder="1" applyAlignment="1">
      <alignment horizontal="right" vertical="center"/>
    </xf>
    <xf numFmtId="38" fontId="5" fillId="4" borderId="1" xfId="1" applyNumberFormat="1" applyFont="1" applyFill="1" applyBorder="1" applyAlignment="1" applyProtection="1">
      <alignment horizontal="right" vertical="center"/>
      <protection locked="0"/>
    </xf>
    <xf numFmtId="38" fontId="5" fillId="0" borderId="1" xfId="1" applyNumberFormat="1" applyFont="1" applyBorder="1">
      <alignment vertical="center"/>
    </xf>
    <xf numFmtId="38" fontId="5" fillId="8" borderId="13" xfId="1" applyNumberFormat="1" applyFont="1" applyFill="1" applyBorder="1" applyAlignment="1" applyProtection="1">
      <alignment vertical="center" wrapText="1"/>
      <protection hidden="1"/>
    </xf>
    <xf numFmtId="38" fontId="5" fillId="7" borderId="1" xfId="1" applyNumberFormat="1" applyFont="1" applyFill="1" applyBorder="1" applyProtection="1">
      <alignment vertical="center"/>
      <protection locked="0"/>
    </xf>
    <xf numFmtId="38" fontId="5" fillId="9" borderId="1" xfId="1" applyNumberFormat="1" applyFont="1" applyFill="1" applyBorder="1" applyAlignment="1" applyProtection="1">
      <alignment vertical="center" wrapText="1"/>
      <protection hidden="1"/>
    </xf>
    <xf numFmtId="38" fontId="5" fillId="5" borderId="1" xfId="1" applyNumberFormat="1" applyFont="1" applyFill="1" applyBorder="1" applyAlignment="1" applyProtection="1">
      <alignment horizontal="center" vertical="center"/>
      <protection locked="0"/>
    </xf>
    <xf numFmtId="38" fontId="5" fillId="10" borderId="1" xfId="1" applyNumberFormat="1" applyFont="1" applyFill="1" applyBorder="1" applyAlignment="1" applyProtection="1">
      <alignment vertical="center" wrapText="1"/>
      <protection hidden="1"/>
    </xf>
    <xf numFmtId="38" fontId="5" fillId="11" borderId="10" xfId="2" applyFont="1" applyFill="1" applyBorder="1" applyAlignment="1" applyProtection="1">
      <alignment horizontal="right" vertical="center"/>
      <protection hidden="1"/>
    </xf>
    <xf numFmtId="38" fontId="17" fillId="4" borderId="10" xfId="2" applyFont="1" applyFill="1" applyBorder="1" applyAlignment="1" applyProtection="1">
      <alignment horizontal="center" vertical="center" wrapText="1"/>
    </xf>
    <xf numFmtId="38" fontId="5" fillId="12" borderId="1" xfId="1" applyNumberFormat="1" applyFont="1" applyFill="1" applyBorder="1" applyAlignment="1" applyProtection="1">
      <alignment vertical="center" wrapText="1"/>
      <protection hidden="1"/>
    </xf>
    <xf numFmtId="38" fontId="5" fillId="13" borderId="1" xfId="2" applyFont="1" applyFill="1" applyBorder="1" applyAlignment="1" applyProtection="1">
      <alignment horizontal="right" vertical="center"/>
      <protection hidden="1"/>
    </xf>
    <xf numFmtId="38" fontId="5" fillId="14" borderId="1" xfId="1" applyNumberFormat="1" applyFont="1" applyFill="1" applyBorder="1" applyAlignment="1" applyProtection="1">
      <alignment vertical="center" wrapText="1"/>
      <protection hidden="1"/>
    </xf>
    <xf numFmtId="38" fontId="5" fillId="0" borderId="1" xfId="2" applyFont="1" applyFill="1" applyBorder="1" applyAlignment="1" applyProtection="1">
      <alignment horizontal="right" vertical="center"/>
    </xf>
    <xf numFmtId="38" fontId="17" fillId="0" borderId="11" xfId="2" applyFont="1" applyFill="1" applyBorder="1" applyAlignment="1" applyProtection="1">
      <alignment vertical="center" wrapText="1"/>
      <protection locked="0"/>
    </xf>
    <xf numFmtId="38" fontId="5" fillId="15" borderId="1" xfId="1" applyNumberFormat="1" applyFont="1" applyFill="1" applyBorder="1" applyAlignment="1" applyProtection="1">
      <alignment vertical="center" wrapText="1"/>
      <protection hidden="1"/>
    </xf>
    <xf numFmtId="38" fontId="5" fillId="16" borderId="1" xfId="2" applyFont="1" applyFill="1" applyBorder="1" applyAlignment="1" applyProtection="1">
      <alignment horizontal="right" vertical="center"/>
      <protection hidden="1"/>
    </xf>
    <xf numFmtId="38" fontId="5" fillId="7" borderId="10" xfId="1" applyNumberFormat="1" applyFont="1" applyFill="1" applyBorder="1" applyProtection="1">
      <alignment vertical="center"/>
      <protection locked="0"/>
    </xf>
    <xf numFmtId="38" fontId="5" fillId="0" borderId="8" xfId="2" applyFont="1" applyFill="1" applyBorder="1" applyAlignment="1" applyProtection="1">
      <alignment horizontal="right" vertical="center"/>
    </xf>
    <xf numFmtId="38" fontId="5" fillId="0" borderId="17" xfId="2" applyFont="1" applyFill="1" applyBorder="1" applyAlignment="1" applyProtection="1">
      <alignment horizontal="right" vertical="center"/>
    </xf>
    <xf numFmtId="38" fontId="5" fillId="0" borderId="8" xfId="1" applyNumberFormat="1" applyFont="1" applyBorder="1">
      <alignment vertical="center"/>
    </xf>
    <xf numFmtId="38" fontId="5" fillId="0" borderId="0" xfId="2" applyFont="1" applyFill="1" applyBorder="1" applyAlignment="1" applyProtection="1">
      <alignment horizontal="center" vertical="center"/>
      <protection locked="0"/>
    </xf>
    <xf numFmtId="38" fontId="5" fillId="0" borderId="0" xfId="2" applyFont="1" applyFill="1" applyBorder="1" applyAlignment="1" applyProtection="1">
      <alignment horizontal="right" vertical="center"/>
    </xf>
    <xf numFmtId="38" fontId="5" fillId="0" borderId="0" xfId="1" applyNumberFormat="1" applyFont="1" applyAlignment="1" applyProtection="1">
      <alignment horizontal="left" vertical="top" wrapText="1"/>
      <protection locked="0"/>
    </xf>
    <xf numFmtId="38" fontId="5" fillId="0" borderId="0" xfId="1" applyNumberFormat="1" applyFont="1" applyAlignment="1" applyProtection="1">
      <alignment vertical="top"/>
      <protection locked="0"/>
    </xf>
    <xf numFmtId="0" fontId="5" fillId="0" borderId="0" xfId="1" applyFont="1" applyProtection="1">
      <alignment vertical="center"/>
      <protection locked="0"/>
    </xf>
    <xf numFmtId="0" fontId="13" fillId="0" borderId="0" xfId="1" applyFont="1" applyAlignment="1" applyProtection="1">
      <alignment horizontal="left" vertical="center"/>
      <protection locked="0"/>
    </xf>
    <xf numFmtId="0" fontId="13" fillId="0" borderId="0" xfId="1" applyFont="1" applyProtection="1">
      <alignment vertical="center"/>
      <protection locked="0"/>
    </xf>
    <xf numFmtId="0" fontId="5" fillId="0" borderId="0" xfId="1" applyFont="1" applyAlignment="1" applyProtection="1">
      <alignment vertical="center" shrinkToFit="1"/>
      <protection locked="0"/>
    </xf>
    <xf numFmtId="0" fontId="5" fillId="0" borderId="0" xfId="1" applyFont="1" applyAlignment="1" applyProtection="1">
      <alignment horizontal="left" vertical="center"/>
      <protection locked="0"/>
    </xf>
    <xf numFmtId="0" fontId="14" fillId="0" borderId="0" xfId="1" applyFont="1" applyProtection="1">
      <alignment vertical="center"/>
      <protection locked="0"/>
    </xf>
    <xf numFmtId="0" fontId="14" fillId="0" borderId="0" xfId="1" applyFont="1" applyAlignment="1" applyProtection="1">
      <alignment vertical="center" shrinkToFit="1"/>
      <protection locked="0"/>
    </xf>
    <xf numFmtId="0" fontId="14" fillId="0" borderId="1" xfId="2" applyNumberFormat="1" applyFont="1" applyFill="1" applyBorder="1" applyAlignment="1" applyProtection="1">
      <alignment horizontal="center" vertical="center"/>
      <protection locked="0"/>
    </xf>
    <xf numFmtId="0" fontId="14" fillId="0" borderId="0" xfId="1" applyFont="1" applyAlignment="1" applyProtection="1">
      <alignment horizontal="center" vertical="center"/>
      <protection locked="0"/>
    </xf>
    <xf numFmtId="0" fontId="14" fillId="0" borderId="0" xfId="1" applyFont="1" applyAlignment="1" applyProtection="1">
      <alignment horizontal="center" vertical="center" shrinkToFit="1"/>
      <protection locked="0"/>
    </xf>
    <xf numFmtId="49" fontId="14" fillId="18" borderId="1" xfId="2" applyNumberFormat="1" applyFont="1" applyFill="1" applyBorder="1" applyAlignment="1" applyProtection="1">
      <alignment horizontal="right" vertical="center"/>
      <protection locked="0"/>
    </xf>
    <xf numFmtId="49" fontId="14" fillId="18" borderId="1" xfId="2" applyNumberFormat="1" applyFont="1" applyFill="1" applyBorder="1" applyAlignment="1" applyProtection="1">
      <alignment horizontal="center" vertical="center"/>
      <protection locked="0"/>
    </xf>
    <xf numFmtId="0" fontId="14" fillId="18" borderId="1" xfId="2" applyNumberFormat="1" applyFont="1" applyFill="1" applyBorder="1" applyAlignment="1" applyProtection="1">
      <alignment horizontal="right" vertical="center"/>
      <protection locked="0"/>
    </xf>
    <xf numFmtId="0" fontId="14" fillId="18" borderId="11" xfId="2" applyNumberFormat="1" applyFont="1" applyFill="1" applyBorder="1" applyAlignment="1" applyProtection="1">
      <alignment horizontal="right" vertical="center"/>
      <protection locked="0"/>
    </xf>
    <xf numFmtId="49" fontId="14" fillId="18" borderId="1" xfId="1" applyNumberFormat="1" applyFont="1" applyFill="1" applyBorder="1" applyProtection="1">
      <alignment vertical="center"/>
      <protection locked="0"/>
    </xf>
    <xf numFmtId="49" fontId="14" fillId="0" borderId="1" xfId="2" applyNumberFormat="1" applyFont="1" applyBorder="1" applyAlignment="1" applyProtection="1">
      <alignment horizontal="right" vertical="center"/>
      <protection locked="0"/>
    </xf>
    <xf numFmtId="49" fontId="14" fillId="0" borderId="1" xfId="2" applyNumberFormat="1" applyFont="1" applyBorder="1" applyAlignment="1" applyProtection="1">
      <alignment horizontal="center" vertical="center"/>
      <protection locked="0"/>
    </xf>
    <xf numFmtId="0" fontId="14" fillId="0" borderId="1" xfId="2" applyNumberFormat="1" applyFont="1" applyFill="1" applyBorder="1" applyAlignment="1" applyProtection="1">
      <alignment horizontal="right" vertical="center"/>
      <protection locked="0"/>
    </xf>
    <xf numFmtId="0" fontId="12" fillId="0" borderId="1" xfId="2" applyNumberFormat="1" applyFont="1" applyFill="1" applyBorder="1" applyAlignment="1" applyProtection="1">
      <alignment horizontal="right" vertical="center"/>
      <protection locked="0"/>
    </xf>
    <xf numFmtId="0" fontId="14" fillId="0" borderId="11" xfId="2" applyNumberFormat="1" applyFont="1" applyFill="1" applyBorder="1" applyAlignment="1" applyProtection="1">
      <alignment horizontal="right" vertical="center"/>
      <protection locked="0"/>
    </xf>
    <xf numFmtId="49" fontId="14" fillId="0" borderId="1" xfId="1" applyNumberFormat="1" applyFont="1" applyBorder="1" applyProtection="1">
      <alignment vertical="center"/>
      <protection locked="0"/>
    </xf>
    <xf numFmtId="0" fontId="14" fillId="0" borderId="1" xfId="2" applyNumberFormat="1" applyFont="1" applyBorder="1" applyAlignment="1" applyProtection="1">
      <alignment horizontal="right" vertical="center"/>
      <protection locked="0"/>
    </xf>
    <xf numFmtId="0" fontId="12" fillId="0" borderId="1" xfId="2" applyNumberFormat="1" applyFont="1" applyBorder="1" applyAlignment="1" applyProtection="1">
      <alignment horizontal="right" vertical="center"/>
      <protection locked="0"/>
    </xf>
    <xf numFmtId="49" fontId="14" fillId="0" borderId="1" xfId="2" applyNumberFormat="1" applyFont="1" applyFill="1" applyBorder="1" applyAlignment="1" applyProtection="1">
      <alignment horizontal="right" vertical="center"/>
      <protection locked="0"/>
    </xf>
    <xf numFmtId="49" fontId="14" fillId="0" borderId="1" xfId="2" applyNumberFormat="1" applyFont="1" applyFill="1" applyBorder="1" applyAlignment="1" applyProtection="1">
      <alignment horizontal="center" vertical="center"/>
      <protection locked="0"/>
    </xf>
    <xf numFmtId="49" fontId="21" fillId="19" borderId="1" xfId="2" applyNumberFormat="1" applyFont="1" applyFill="1" applyBorder="1" applyAlignment="1" applyProtection="1">
      <alignment horizontal="right" vertical="center"/>
      <protection locked="0"/>
    </xf>
    <xf numFmtId="49" fontId="21" fillId="19" borderId="1" xfId="2" applyNumberFormat="1" applyFont="1" applyFill="1" applyBorder="1" applyAlignment="1" applyProtection="1">
      <alignment horizontal="center" vertical="center"/>
      <protection locked="0"/>
    </xf>
    <xf numFmtId="0" fontId="14" fillId="19" borderId="1" xfId="2" applyNumberFormat="1" applyFont="1" applyFill="1" applyBorder="1" applyAlignment="1" applyProtection="1">
      <alignment horizontal="right" vertical="center"/>
    </xf>
    <xf numFmtId="0" fontId="21" fillId="19" borderId="11" xfId="2" applyNumberFormat="1" applyFont="1" applyFill="1" applyBorder="1" applyAlignment="1" applyProtection="1">
      <alignment horizontal="right" vertical="center"/>
      <protection locked="0"/>
    </xf>
    <xf numFmtId="49" fontId="21" fillId="19" borderId="1" xfId="1" applyNumberFormat="1" applyFont="1" applyFill="1" applyBorder="1" applyProtection="1">
      <alignment vertical="center"/>
      <protection locked="0"/>
    </xf>
    <xf numFmtId="49" fontId="21" fillId="16" borderId="1" xfId="2" applyNumberFormat="1" applyFont="1" applyFill="1" applyBorder="1" applyAlignment="1" applyProtection="1">
      <alignment horizontal="right" vertical="center"/>
      <protection locked="0"/>
    </xf>
    <xf numFmtId="49" fontId="21" fillId="16" borderId="1" xfId="2" applyNumberFormat="1" applyFont="1" applyFill="1" applyBorder="1" applyAlignment="1" applyProtection="1">
      <alignment horizontal="center" vertical="center"/>
      <protection locked="0"/>
    </xf>
    <xf numFmtId="0" fontId="21" fillId="16" borderId="1" xfId="2" applyNumberFormat="1" applyFont="1" applyFill="1" applyBorder="1" applyAlignment="1" applyProtection="1">
      <alignment horizontal="right" vertical="center"/>
    </xf>
    <xf numFmtId="0" fontId="21" fillId="16" borderId="11" xfId="2" applyNumberFormat="1" applyFont="1" applyFill="1" applyBorder="1" applyAlignment="1" applyProtection="1">
      <alignment horizontal="right" vertical="center"/>
      <protection locked="0"/>
    </xf>
    <xf numFmtId="49" fontId="21" fillId="16" borderId="1" xfId="1" applyNumberFormat="1" applyFont="1" applyFill="1" applyBorder="1" applyProtection="1">
      <alignment vertical="center"/>
      <protection locked="0"/>
    </xf>
    <xf numFmtId="49" fontId="21" fillId="20" borderId="1" xfId="2" applyNumberFormat="1" applyFont="1" applyFill="1" applyBorder="1" applyAlignment="1" applyProtection="1">
      <alignment horizontal="right" vertical="center"/>
      <protection locked="0"/>
    </xf>
    <xf numFmtId="49" fontId="21" fillId="20" borderId="1" xfId="2" applyNumberFormat="1" applyFont="1" applyFill="1" applyBorder="1" applyAlignment="1" applyProtection="1">
      <alignment horizontal="center" vertical="center"/>
      <protection locked="0"/>
    </xf>
    <xf numFmtId="0" fontId="14" fillId="20" borderId="1" xfId="2" applyNumberFormat="1" applyFont="1" applyFill="1" applyBorder="1" applyAlignment="1" applyProtection="1">
      <alignment horizontal="right" vertical="center"/>
    </xf>
    <xf numFmtId="0" fontId="21" fillId="20" borderId="11" xfId="2" applyNumberFormat="1" applyFont="1" applyFill="1" applyBorder="1" applyAlignment="1" applyProtection="1">
      <alignment horizontal="right" vertical="center"/>
      <protection locked="0"/>
    </xf>
    <xf numFmtId="49" fontId="21" fillId="20" borderId="1" xfId="1" applyNumberFormat="1" applyFont="1" applyFill="1" applyBorder="1" applyProtection="1">
      <alignment vertical="center"/>
      <protection locked="0"/>
    </xf>
    <xf numFmtId="49" fontId="21" fillId="11" borderId="1" xfId="2" applyNumberFormat="1" applyFont="1" applyFill="1" applyBorder="1" applyAlignment="1" applyProtection="1">
      <alignment horizontal="right" vertical="center"/>
      <protection locked="0"/>
    </xf>
    <xf numFmtId="49" fontId="21" fillId="11" borderId="1" xfId="2" applyNumberFormat="1" applyFont="1" applyFill="1" applyBorder="1" applyAlignment="1" applyProtection="1">
      <alignment horizontal="center" vertical="center"/>
      <protection locked="0"/>
    </xf>
    <xf numFmtId="0" fontId="21" fillId="11" borderId="1" xfId="2" applyNumberFormat="1" applyFont="1" applyFill="1" applyBorder="1" applyAlignment="1" applyProtection="1">
      <alignment horizontal="right" vertical="center"/>
    </xf>
    <xf numFmtId="0" fontId="21" fillId="11" borderId="11" xfId="2" applyNumberFormat="1" applyFont="1" applyFill="1" applyBorder="1" applyAlignment="1" applyProtection="1">
      <alignment horizontal="right" vertical="center"/>
      <protection locked="0"/>
    </xf>
    <xf numFmtId="49" fontId="21" fillId="11" borderId="1" xfId="1" applyNumberFormat="1" applyFont="1" applyFill="1" applyBorder="1" applyProtection="1">
      <alignment vertical="center"/>
      <protection locked="0"/>
    </xf>
    <xf numFmtId="49" fontId="22" fillId="0" borderId="1" xfId="1" applyNumberFormat="1" applyFont="1" applyBorder="1" applyProtection="1">
      <alignment vertical="center"/>
      <protection locked="0"/>
    </xf>
    <xf numFmtId="49" fontId="21" fillId="21" borderId="1" xfId="2" applyNumberFormat="1" applyFont="1" applyFill="1" applyBorder="1" applyAlignment="1" applyProtection="1">
      <alignment horizontal="right" vertical="center"/>
      <protection locked="0"/>
    </xf>
    <xf numFmtId="49" fontId="21" fillId="21" borderId="1" xfId="2" applyNumberFormat="1" applyFont="1" applyFill="1" applyBorder="1" applyAlignment="1" applyProtection="1">
      <alignment horizontal="center" vertical="center"/>
      <protection locked="0"/>
    </xf>
    <xf numFmtId="0" fontId="14" fillId="21" borderId="1" xfId="2" applyNumberFormat="1" applyFont="1" applyFill="1" applyBorder="1" applyAlignment="1" applyProtection="1">
      <alignment horizontal="right" vertical="center"/>
    </xf>
    <xf numFmtId="0" fontId="21" fillId="21" borderId="11" xfId="2" applyNumberFormat="1" applyFont="1" applyFill="1" applyBorder="1" applyAlignment="1" applyProtection="1">
      <alignment horizontal="right" vertical="center"/>
      <protection locked="0"/>
    </xf>
    <xf numFmtId="0" fontId="21" fillId="21" borderId="1" xfId="2" applyNumberFormat="1" applyFont="1" applyFill="1" applyBorder="1" applyAlignment="1" applyProtection="1">
      <alignment horizontal="right" vertical="center"/>
    </xf>
    <xf numFmtId="49" fontId="21" fillId="21" borderId="1" xfId="1" applyNumberFormat="1" applyFont="1" applyFill="1" applyBorder="1" applyProtection="1">
      <alignment vertical="center"/>
      <protection locked="0"/>
    </xf>
    <xf numFmtId="49" fontId="21" fillId="13" borderId="1" xfId="2" applyNumberFormat="1" applyFont="1" applyFill="1" applyBorder="1" applyAlignment="1" applyProtection="1">
      <alignment horizontal="right" vertical="center"/>
      <protection locked="0"/>
    </xf>
    <xf numFmtId="49" fontId="21" fillId="13" borderId="1" xfId="2" applyNumberFormat="1" applyFont="1" applyFill="1" applyBorder="1" applyAlignment="1" applyProtection="1">
      <alignment horizontal="center" vertical="center"/>
      <protection locked="0"/>
    </xf>
    <xf numFmtId="0" fontId="21" fillId="13" borderId="1" xfId="2" applyNumberFormat="1" applyFont="1" applyFill="1" applyBorder="1" applyAlignment="1" applyProtection="1">
      <alignment horizontal="right" vertical="center"/>
    </xf>
    <xf numFmtId="0" fontId="21" fillId="13" borderId="11" xfId="2" applyNumberFormat="1" applyFont="1" applyFill="1" applyBorder="1" applyAlignment="1" applyProtection="1">
      <alignment horizontal="right" vertical="center"/>
      <protection locked="0"/>
    </xf>
    <xf numFmtId="49" fontId="21" fillId="13" borderId="1" xfId="1" applyNumberFormat="1" applyFont="1" applyFill="1" applyBorder="1" applyProtection="1">
      <alignment vertical="center"/>
      <protection locked="0"/>
    </xf>
    <xf numFmtId="49" fontId="21" fillId="8" borderId="1" xfId="2" applyNumberFormat="1" applyFont="1" applyFill="1" applyBorder="1" applyAlignment="1" applyProtection="1">
      <alignment horizontal="right" vertical="center"/>
      <protection locked="0"/>
    </xf>
    <xf numFmtId="49" fontId="21" fillId="8" borderId="1" xfId="2" applyNumberFormat="1" applyFont="1" applyFill="1" applyBorder="1" applyAlignment="1" applyProtection="1">
      <alignment horizontal="center" vertical="center"/>
      <protection locked="0"/>
    </xf>
    <xf numFmtId="0" fontId="21" fillId="8" borderId="1" xfId="2" applyNumberFormat="1" applyFont="1" applyFill="1" applyBorder="1" applyAlignment="1" applyProtection="1">
      <alignment horizontal="right" vertical="center"/>
    </xf>
    <xf numFmtId="0" fontId="21" fillId="8" borderId="11" xfId="2" applyNumberFormat="1" applyFont="1" applyFill="1" applyBorder="1" applyAlignment="1" applyProtection="1">
      <alignment horizontal="right" vertical="center"/>
      <protection locked="0"/>
    </xf>
    <xf numFmtId="49" fontId="21" fillId="8" borderId="1" xfId="1" applyNumberFormat="1" applyFont="1" applyFill="1" applyBorder="1" applyProtection="1">
      <alignment vertical="center"/>
      <protection locked="0"/>
    </xf>
    <xf numFmtId="49" fontId="21" fillId="9" borderId="1" xfId="2" applyNumberFormat="1" applyFont="1" applyFill="1" applyBorder="1" applyAlignment="1" applyProtection="1">
      <alignment horizontal="right" vertical="center"/>
      <protection locked="0"/>
    </xf>
    <xf numFmtId="49" fontId="21" fillId="9" borderId="1" xfId="2" applyNumberFormat="1" applyFont="1" applyFill="1" applyBorder="1" applyAlignment="1" applyProtection="1">
      <alignment horizontal="center" vertical="center"/>
      <protection locked="0"/>
    </xf>
    <xf numFmtId="0" fontId="21" fillId="9" borderId="1" xfId="2" applyNumberFormat="1" applyFont="1" applyFill="1" applyBorder="1" applyAlignment="1" applyProtection="1">
      <alignment horizontal="right" vertical="center"/>
    </xf>
    <xf numFmtId="0" fontId="21" fillId="9" borderId="11" xfId="2" applyNumberFormat="1" applyFont="1" applyFill="1" applyBorder="1" applyAlignment="1" applyProtection="1">
      <alignment horizontal="right" vertical="center"/>
      <protection locked="0"/>
    </xf>
    <xf numFmtId="49" fontId="21" fillId="9" borderId="1" xfId="1" applyNumberFormat="1" applyFont="1" applyFill="1" applyBorder="1" applyProtection="1">
      <alignment vertical="center"/>
      <protection locked="0"/>
    </xf>
    <xf numFmtId="49" fontId="21" fillId="10" borderId="1" xfId="2" applyNumberFormat="1" applyFont="1" applyFill="1" applyBorder="1" applyAlignment="1" applyProtection="1">
      <alignment horizontal="right" vertical="center"/>
      <protection locked="0"/>
    </xf>
    <xf numFmtId="49" fontId="21" fillId="10" borderId="1" xfId="2" applyNumberFormat="1" applyFont="1" applyFill="1" applyBorder="1" applyAlignment="1" applyProtection="1">
      <alignment horizontal="center" vertical="center"/>
      <protection locked="0"/>
    </xf>
    <xf numFmtId="0" fontId="21" fillId="10" borderId="1" xfId="2" applyNumberFormat="1" applyFont="1" applyFill="1" applyBorder="1" applyAlignment="1" applyProtection="1">
      <alignment horizontal="right" vertical="center"/>
    </xf>
    <xf numFmtId="0" fontId="21" fillId="10" borderId="11" xfId="2" applyNumberFormat="1" applyFont="1" applyFill="1" applyBorder="1" applyAlignment="1" applyProtection="1">
      <alignment horizontal="right" vertical="center"/>
      <protection locked="0"/>
    </xf>
    <xf numFmtId="49" fontId="21" fillId="10" borderId="1" xfId="1" applyNumberFormat="1" applyFont="1" applyFill="1" applyBorder="1" applyProtection="1">
      <alignment vertical="center"/>
      <protection locked="0"/>
    </xf>
    <xf numFmtId="49" fontId="21" fillId="12" borderId="1" xfId="2" applyNumberFormat="1" applyFont="1" applyFill="1" applyBorder="1" applyAlignment="1" applyProtection="1">
      <alignment horizontal="right" vertical="center"/>
      <protection locked="0"/>
    </xf>
    <xf numFmtId="49" fontId="21" fillId="12" borderId="1" xfId="2" applyNumberFormat="1" applyFont="1" applyFill="1" applyBorder="1" applyAlignment="1" applyProtection="1">
      <alignment horizontal="center" vertical="center"/>
      <protection locked="0"/>
    </xf>
    <xf numFmtId="0" fontId="21" fillId="12" borderId="1" xfId="2" applyNumberFormat="1" applyFont="1" applyFill="1" applyBorder="1" applyAlignment="1" applyProtection="1">
      <alignment horizontal="right" vertical="center"/>
    </xf>
    <xf numFmtId="0" fontId="21" fillId="12" borderId="11" xfId="2" applyNumberFormat="1" applyFont="1" applyFill="1" applyBorder="1" applyAlignment="1" applyProtection="1">
      <alignment horizontal="right" vertical="center"/>
      <protection locked="0"/>
    </xf>
    <xf numFmtId="49" fontId="21" fillId="12" borderId="1" xfId="1" applyNumberFormat="1" applyFont="1" applyFill="1" applyBorder="1" applyProtection="1">
      <alignment vertical="center"/>
      <protection locked="0"/>
    </xf>
    <xf numFmtId="49" fontId="21" fillId="14"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center" vertical="center"/>
      <protection locked="0"/>
    </xf>
    <xf numFmtId="0" fontId="21" fillId="22" borderId="1" xfId="2" applyNumberFormat="1" applyFont="1" applyFill="1" applyBorder="1" applyAlignment="1" applyProtection="1">
      <alignment horizontal="right" vertical="center"/>
    </xf>
    <xf numFmtId="0" fontId="21" fillId="22" borderId="11" xfId="2" applyNumberFormat="1" applyFont="1" applyFill="1" applyBorder="1" applyAlignment="1" applyProtection="1">
      <alignment horizontal="right" vertical="center"/>
      <protection locked="0"/>
    </xf>
    <xf numFmtId="49" fontId="21" fillId="22" borderId="1" xfId="1" applyNumberFormat="1" applyFont="1" applyFill="1" applyBorder="1" applyProtection="1">
      <alignment vertical="center"/>
      <protection locked="0"/>
    </xf>
    <xf numFmtId="49" fontId="12" fillId="0" borderId="1" xfId="2" applyNumberFormat="1" applyFont="1" applyFill="1" applyBorder="1" applyAlignment="1" applyProtection="1">
      <alignment horizontal="right" vertical="center"/>
      <protection locked="0"/>
    </xf>
    <xf numFmtId="49" fontId="12" fillId="0" borderId="1" xfId="2" applyNumberFormat="1" applyFont="1" applyFill="1" applyBorder="1" applyAlignment="1" applyProtection="1">
      <alignment horizontal="center" vertical="center"/>
      <protection locked="0"/>
    </xf>
    <xf numFmtId="49" fontId="21" fillId="15" borderId="1" xfId="2" applyNumberFormat="1" applyFont="1" applyFill="1" applyBorder="1" applyAlignment="1" applyProtection="1">
      <alignment horizontal="right" vertical="center"/>
      <protection locked="0"/>
    </xf>
    <xf numFmtId="49" fontId="21" fillId="15" borderId="1" xfId="2" applyNumberFormat="1" applyFont="1" applyFill="1" applyBorder="1" applyAlignment="1" applyProtection="1">
      <alignment horizontal="center" vertical="center"/>
      <protection locked="0"/>
    </xf>
    <xf numFmtId="0" fontId="21" fillId="15" borderId="1" xfId="2" applyNumberFormat="1" applyFont="1" applyFill="1" applyBorder="1" applyAlignment="1" applyProtection="1">
      <alignment horizontal="right" vertical="center"/>
    </xf>
    <xf numFmtId="0" fontId="21" fillId="15" borderId="11" xfId="2" applyNumberFormat="1" applyFont="1" applyFill="1" applyBorder="1" applyAlignment="1" applyProtection="1">
      <alignment horizontal="right" vertical="center"/>
      <protection locked="0"/>
    </xf>
    <xf numFmtId="49" fontId="21" fillId="15" borderId="1" xfId="1" applyNumberFormat="1" applyFont="1" applyFill="1" applyBorder="1" applyProtection="1">
      <alignment vertical="center"/>
      <protection locked="0"/>
    </xf>
    <xf numFmtId="0" fontId="14" fillId="0" borderId="23" xfId="2" applyNumberFormat="1" applyFont="1" applyFill="1" applyBorder="1" applyAlignment="1" applyProtection="1">
      <alignment horizontal="right" vertical="center"/>
    </xf>
    <xf numFmtId="0" fontId="14" fillId="0" borderId="24" xfId="2" applyNumberFormat="1" applyFont="1" applyFill="1" applyBorder="1" applyAlignment="1" applyProtection="1">
      <alignment horizontal="right" vertical="center"/>
      <protection locked="0"/>
    </xf>
    <xf numFmtId="49" fontId="14" fillId="0" borderId="13" xfId="1" applyNumberFormat="1" applyFont="1" applyBorder="1" applyProtection="1">
      <alignment vertical="center"/>
      <protection locked="0"/>
    </xf>
    <xf numFmtId="0" fontId="14" fillId="0" borderId="8" xfId="2" applyNumberFormat="1" applyFont="1" applyFill="1" applyBorder="1" applyAlignment="1" applyProtection="1">
      <alignment horizontal="right" vertical="center"/>
    </xf>
    <xf numFmtId="49" fontId="14" fillId="0" borderId="4" xfId="1" applyNumberFormat="1" applyFont="1" applyBorder="1" applyProtection="1">
      <alignment vertical="center"/>
      <protection locked="0"/>
    </xf>
    <xf numFmtId="0" fontId="20" fillId="0" borderId="0" xfId="1" applyFont="1" applyProtection="1">
      <alignment vertical="center"/>
      <protection locked="0"/>
    </xf>
    <xf numFmtId="0" fontId="14" fillId="0" borderId="0" xfId="0" applyFont="1">
      <alignment vertical="center"/>
    </xf>
    <xf numFmtId="38" fontId="5" fillId="5" borderId="1" xfId="1" applyNumberFormat="1" applyFont="1" applyFill="1" applyBorder="1" applyAlignment="1" applyProtection="1">
      <alignment horizontal="right" vertical="center"/>
      <protection locked="0"/>
    </xf>
    <xf numFmtId="38" fontId="5" fillId="7" borderId="1" xfId="1" applyNumberFormat="1" applyFont="1" applyFill="1" applyBorder="1" applyAlignment="1" applyProtection="1">
      <alignment horizontal="right" vertical="center"/>
      <protection locked="0"/>
    </xf>
    <xf numFmtId="38" fontId="9" fillId="3" borderId="1" xfId="2" applyFont="1" applyFill="1" applyBorder="1" applyAlignment="1" applyProtection="1">
      <alignment horizontal="center" vertical="center"/>
    </xf>
    <xf numFmtId="38" fontId="9" fillId="3" borderId="1" xfId="2" applyFont="1" applyFill="1" applyBorder="1" applyAlignment="1" applyProtection="1">
      <alignment horizontal="right" vertical="center" shrinkToFit="1"/>
    </xf>
    <xf numFmtId="0" fontId="26" fillId="0" borderId="27" xfId="0" applyFont="1" applyBorder="1">
      <alignment vertical="center"/>
    </xf>
    <xf numFmtId="42" fontId="27" fillId="23" borderId="27" xfId="0" applyNumberFormat="1" applyFont="1" applyFill="1" applyBorder="1">
      <alignment vertical="center"/>
    </xf>
    <xf numFmtId="42" fontId="27" fillId="0" borderId="0" xfId="0" applyNumberFormat="1" applyFont="1">
      <alignment vertical="center"/>
    </xf>
    <xf numFmtId="42" fontId="27" fillId="23" borderId="0" xfId="0" applyNumberFormat="1" applyFont="1" applyFill="1">
      <alignment vertical="center"/>
    </xf>
    <xf numFmtId="42" fontId="27" fillId="0" borderId="26" xfId="0" applyNumberFormat="1" applyFont="1" applyBorder="1">
      <alignment vertical="center"/>
    </xf>
    <xf numFmtId="176" fontId="0" fillId="0" borderId="0" xfId="0" applyNumberFormat="1" applyProtection="1">
      <alignment vertical="center"/>
      <protection locked="0"/>
    </xf>
    <xf numFmtId="0" fontId="0" fillId="0" borderId="0" xfId="0" applyProtection="1">
      <alignment vertical="center"/>
      <protection locked="0"/>
    </xf>
    <xf numFmtId="42" fontId="27" fillId="0" borderId="27" xfId="0" applyNumberFormat="1" applyFont="1" applyBorder="1">
      <alignment vertical="center"/>
    </xf>
    <xf numFmtId="0" fontId="29" fillId="0" borderId="28" xfId="0" applyFont="1" applyBorder="1">
      <alignment vertical="center"/>
    </xf>
    <xf numFmtId="0" fontId="29" fillId="0" borderId="0" xfId="0" applyFont="1">
      <alignment vertical="center"/>
    </xf>
    <xf numFmtId="0" fontId="31" fillId="0" borderId="29" xfId="0" applyFont="1" applyBorder="1">
      <alignment vertical="center"/>
    </xf>
    <xf numFmtId="0" fontId="31" fillId="0" borderId="0" xfId="0" applyFont="1">
      <alignment vertical="center"/>
    </xf>
    <xf numFmtId="0" fontId="26" fillId="0" borderId="0" xfId="0" applyFont="1">
      <alignment vertical="center"/>
    </xf>
    <xf numFmtId="0" fontId="28" fillId="0" borderId="0" xfId="0" applyFont="1">
      <alignment vertical="center"/>
    </xf>
    <xf numFmtId="0" fontId="30" fillId="0" borderId="0" xfId="0" applyFont="1">
      <alignment vertical="center"/>
    </xf>
    <xf numFmtId="176" fontId="0" fillId="0" borderId="3" xfId="0" applyNumberFormat="1" applyBorder="1" applyProtection="1">
      <alignment vertical="center"/>
      <protection locked="0"/>
    </xf>
    <xf numFmtId="14" fontId="4" fillId="0" borderId="0" xfId="0" applyNumberFormat="1" applyFont="1">
      <alignment vertical="center"/>
    </xf>
    <xf numFmtId="0" fontId="0" fillId="0" borderId="3" xfId="0" applyBorder="1" applyProtection="1">
      <alignment vertical="center"/>
      <protection locked="0"/>
    </xf>
    <xf numFmtId="0" fontId="27" fillId="0" borderId="27" xfId="0" applyFont="1" applyBorder="1">
      <alignment vertical="center"/>
    </xf>
    <xf numFmtId="42" fontId="0" fillId="0" borderId="0" xfId="0" applyNumberFormat="1" applyProtection="1">
      <alignment vertical="center"/>
      <protection locked="0"/>
    </xf>
    <xf numFmtId="0" fontId="27" fillId="0" borderId="0" xfId="0" applyFont="1">
      <alignment vertical="center"/>
    </xf>
    <xf numFmtId="42" fontId="29" fillId="0" borderId="28" xfId="0" applyNumberFormat="1" applyFont="1" applyBorder="1">
      <alignment vertical="center"/>
    </xf>
    <xf numFmtId="42" fontId="29" fillId="0" borderId="0" xfId="0" applyNumberFormat="1" applyFont="1">
      <alignment vertical="center"/>
    </xf>
    <xf numFmtId="42" fontId="31" fillId="0" borderId="29" xfId="0" applyNumberFormat="1" applyFont="1" applyBorder="1">
      <alignment vertical="center"/>
    </xf>
    <xf numFmtId="42" fontId="31" fillId="0" borderId="0" xfId="0" applyNumberFormat="1" applyFont="1">
      <alignment vertical="center"/>
    </xf>
    <xf numFmtId="0" fontId="27" fillId="0" borderId="27" xfId="0" applyFont="1" applyBorder="1" applyAlignment="1">
      <alignment horizontal="left" vertical="center"/>
    </xf>
    <xf numFmtId="177" fontId="4" fillId="0" borderId="0" xfId="0" applyNumberFormat="1" applyFont="1" applyProtection="1">
      <alignment vertical="center"/>
      <protection locked="0"/>
    </xf>
    <xf numFmtId="38" fontId="6" fillId="0" borderId="0" xfId="1" applyNumberFormat="1" applyFont="1" applyAlignment="1">
      <alignment horizontal="left" vertical="center"/>
    </xf>
    <xf numFmtId="38" fontId="6" fillId="0" borderId="2" xfId="1" applyNumberFormat="1" applyFont="1" applyBorder="1" applyAlignment="1">
      <alignment horizontal="left" vertical="center"/>
    </xf>
    <xf numFmtId="38" fontId="8" fillId="3" borderId="1" xfId="2" applyFont="1" applyFill="1" applyBorder="1" applyAlignment="1" applyProtection="1">
      <alignment horizontal="center" vertical="center"/>
    </xf>
    <xf numFmtId="38" fontId="12" fillId="0" borderId="3"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5" fillId="0" borderId="5" xfId="1" applyNumberFormat="1" applyFont="1" applyBorder="1" applyAlignment="1">
      <alignment horizontal="center" vertical="center"/>
    </xf>
    <xf numFmtId="38" fontId="5" fillId="0" borderId="6" xfId="1" applyNumberFormat="1" applyFont="1" applyBorder="1" applyAlignment="1">
      <alignment horizontal="center" vertical="center"/>
    </xf>
    <xf numFmtId="38" fontId="5" fillId="0" borderId="7" xfId="1" applyNumberFormat="1" applyFont="1" applyBorder="1" applyAlignment="1">
      <alignment horizontal="center" vertical="center"/>
    </xf>
    <xf numFmtId="38" fontId="13" fillId="0" borderId="1" xfId="2" applyFont="1" applyFill="1" applyBorder="1" applyAlignment="1" applyProtection="1">
      <alignment horizontal="center" vertical="center"/>
      <protection locked="0"/>
    </xf>
    <xf numFmtId="38" fontId="13" fillId="0" borderId="3" xfId="1" applyNumberFormat="1" applyFont="1" applyBorder="1" applyAlignment="1">
      <alignment horizontal="center" vertical="center"/>
    </xf>
    <xf numFmtId="38" fontId="13" fillId="0" borderId="9" xfId="1" applyNumberFormat="1" applyFont="1" applyBorder="1" applyAlignment="1">
      <alignment horizontal="center" vertical="center"/>
    </xf>
    <xf numFmtId="38" fontId="13" fillId="0" borderId="4" xfId="1" applyNumberFormat="1" applyFont="1" applyBorder="1" applyAlignment="1">
      <alignment horizontal="center" vertical="center"/>
    </xf>
    <xf numFmtId="38" fontId="13" fillId="0" borderId="1" xfId="2" applyFont="1" applyFill="1" applyBorder="1" applyAlignment="1" applyProtection="1">
      <alignment horizontal="left" vertical="center" indent="1"/>
      <protection locked="0"/>
    </xf>
    <xf numFmtId="38" fontId="5" fillId="0" borderId="10" xfId="1" applyNumberFormat="1" applyFont="1" applyBorder="1" applyAlignment="1">
      <alignment horizontal="center" vertical="center" textRotation="255"/>
    </xf>
    <xf numFmtId="38" fontId="5" fillId="0" borderId="12" xfId="1" applyNumberFormat="1" applyFont="1" applyBorder="1" applyAlignment="1">
      <alignment horizontal="center" vertical="center" textRotation="255"/>
    </xf>
    <xf numFmtId="38" fontId="5" fillId="0" borderId="13" xfId="1" applyNumberFormat="1" applyFont="1" applyBorder="1" applyAlignment="1">
      <alignment horizontal="center" vertical="center" textRotation="255"/>
    </xf>
    <xf numFmtId="38" fontId="12" fillId="6" borderId="1" xfId="1" applyNumberFormat="1" applyFont="1" applyFill="1" applyBorder="1" applyAlignment="1">
      <alignment horizontal="left" vertical="center" wrapText="1"/>
    </xf>
    <xf numFmtId="38" fontId="5" fillId="5" borderId="1" xfId="1" applyNumberFormat="1" applyFont="1" applyFill="1" applyBorder="1" applyAlignment="1" applyProtection="1">
      <alignment horizontal="right" vertical="center"/>
      <protection locked="0"/>
    </xf>
    <xf numFmtId="38" fontId="13" fillId="0" borderId="3" xfId="2" applyFont="1" applyFill="1" applyBorder="1" applyAlignment="1" applyProtection="1">
      <alignment horizontal="left" vertical="center" indent="1"/>
      <protection locked="0"/>
    </xf>
    <xf numFmtId="38" fontId="13" fillId="0" borderId="4" xfId="2" applyFont="1" applyFill="1" applyBorder="1" applyAlignment="1" applyProtection="1">
      <alignment horizontal="left" vertical="center" indent="1"/>
      <protection locked="0"/>
    </xf>
    <xf numFmtId="38" fontId="14" fillId="0" borderId="1" xfId="1" applyNumberFormat="1" applyFont="1" applyBorder="1" applyAlignment="1" applyProtection="1">
      <alignment horizontal="left" vertical="center" wrapText="1"/>
      <protection locked="0"/>
    </xf>
    <xf numFmtId="38" fontId="14" fillId="0" borderId="1" xfId="1" applyNumberFormat="1" applyFont="1" applyBorder="1" applyAlignment="1">
      <alignment horizontal="left" vertical="center" wrapText="1"/>
    </xf>
    <xf numFmtId="38" fontId="15" fillId="7" borderId="10" xfId="1" applyNumberFormat="1" applyFont="1" applyFill="1" applyBorder="1" applyAlignment="1">
      <alignment horizontal="center" vertical="center" textRotation="255"/>
    </xf>
    <xf numFmtId="38" fontId="15" fillId="7" borderId="12" xfId="1" applyNumberFormat="1" applyFont="1" applyFill="1" applyBorder="1" applyAlignment="1">
      <alignment horizontal="center" vertical="center" textRotation="255"/>
    </xf>
    <xf numFmtId="38" fontId="15" fillId="7" borderId="13" xfId="1" applyNumberFormat="1" applyFont="1" applyFill="1" applyBorder="1" applyAlignment="1">
      <alignment horizontal="center" vertical="center" textRotation="255"/>
    </xf>
    <xf numFmtId="38" fontId="5" fillId="8" borderId="13" xfId="1" applyNumberFormat="1" applyFont="1" applyFill="1" applyBorder="1" applyAlignment="1">
      <alignment horizontal="left" vertical="center" wrapText="1"/>
    </xf>
    <xf numFmtId="38" fontId="5" fillId="9" borderId="1" xfId="1" applyNumberFormat="1" applyFont="1" applyFill="1" applyBorder="1" applyAlignment="1">
      <alignment horizontal="left" vertical="center" wrapText="1"/>
    </xf>
    <xf numFmtId="38" fontId="12" fillId="0" borderId="1" xfId="2" applyFont="1" applyFill="1" applyBorder="1" applyAlignment="1" applyProtection="1">
      <alignment horizontal="left" vertical="center" indent="1"/>
      <protection locked="0"/>
    </xf>
    <xf numFmtId="38" fontId="5" fillId="10" borderId="1" xfId="1" applyNumberFormat="1" applyFont="1" applyFill="1" applyBorder="1" applyAlignment="1">
      <alignment horizontal="left" vertical="center" wrapText="1"/>
    </xf>
    <xf numFmtId="38" fontId="16" fillId="11" borderId="10" xfId="2" applyFont="1" applyFill="1" applyBorder="1" applyAlignment="1" applyProtection="1">
      <alignment horizontal="left" vertical="center" indent="1"/>
    </xf>
    <xf numFmtId="38" fontId="12" fillId="16" borderId="1" xfId="2" applyFont="1" applyFill="1" applyBorder="1" applyAlignment="1" applyProtection="1">
      <alignment horizontal="left" vertical="center" indent="1"/>
    </xf>
    <xf numFmtId="38" fontId="18" fillId="0" borderId="14" xfId="1" applyNumberFormat="1" applyFont="1" applyBorder="1" applyAlignment="1" applyProtection="1">
      <alignment horizontal="left" vertical="center" wrapText="1"/>
      <protection locked="0"/>
    </xf>
    <xf numFmtId="38" fontId="18" fillId="0" borderId="15" xfId="1" applyNumberFormat="1" applyFont="1" applyBorder="1" applyAlignment="1" applyProtection="1">
      <alignment horizontal="left" vertical="center" wrapText="1"/>
      <protection locked="0"/>
    </xf>
    <xf numFmtId="38" fontId="18" fillId="0" borderId="16" xfId="1" applyNumberFormat="1" applyFont="1" applyBorder="1" applyAlignment="1" applyProtection="1">
      <alignment horizontal="left" vertical="center" wrapText="1"/>
      <protection locked="0"/>
    </xf>
    <xf numFmtId="38" fontId="13" fillId="0" borderId="5" xfId="2" applyFont="1" applyFill="1" applyBorder="1" applyAlignment="1" applyProtection="1">
      <alignment horizontal="center" vertical="center"/>
    </xf>
    <xf numFmtId="38" fontId="13" fillId="0" borderId="7" xfId="2" applyFont="1" applyFill="1" applyBorder="1" applyAlignment="1" applyProtection="1">
      <alignment horizontal="center" vertical="center"/>
    </xf>
    <xf numFmtId="38" fontId="14" fillId="0" borderId="18" xfId="1" applyNumberFormat="1" applyFont="1" applyBorder="1" applyAlignment="1">
      <alignment horizontal="center" vertical="center" wrapText="1"/>
    </xf>
    <xf numFmtId="38" fontId="14" fillId="0" borderId="19" xfId="1" applyNumberFormat="1" applyFont="1" applyBorder="1" applyAlignment="1">
      <alignment horizontal="center" vertical="center" wrapText="1"/>
    </xf>
    <xf numFmtId="38" fontId="17" fillId="4" borderId="10" xfId="2" applyFont="1" applyFill="1" applyBorder="1" applyAlignment="1" applyProtection="1">
      <alignment horizontal="center" vertical="center" wrapText="1"/>
    </xf>
    <xf numFmtId="38" fontId="17" fillId="4" borderId="13" xfId="2" applyFont="1" applyFill="1" applyBorder="1" applyAlignment="1" applyProtection="1">
      <alignment horizontal="center" vertical="center" wrapText="1"/>
    </xf>
    <xf numFmtId="38" fontId="5" fillId="12" borderId="1" xfId="1" applyNumberFormat="1" applyFont="1" applyFill="1" applyBorder="1" applyAlignment="1">
      <alignment horizontal="left" vertical="center" wrapText="1"/>
    </xf>
    <xf numFmtId="38" fontId="12" fillId="13" borderId="1" xfId="2" applyFont="1" applyFill="1" applyBorder="1" applyAlignment="1" applyProtection="1">
      <alignment horizontal="left" vertical="center" indent="1"/>
    </xf>
    <xf numFmtId="38" fontId="13" fillId="14" borderId="1" xfId="1" applyNumberFormat="1" applyFont="1" applyFill="1" applyBorder="1" applyAlignment="1">
      <alignment horizontal="left" vertical="center" wrapText="1"/>
    </xf>
    <xf numFmtId="38" fontId="13" fillId="0" borderId="1" xfId="2" applyFont="1" applyFill="1" applyBorder="1" applyAlignment="1" applyProtection="1">
      <alignment horizontal="left" vertical="center" indent="1" shrinkToFit="1"/>
    </xf>
    <xf numFmtId="38" fontId="13" fillId="15" borderId="1" xfId="1" applyNumberFormat="1" applyFont="1" applyFill="1" applyBorder="1" applyAlignment="1" applyProtection="1">
      <alignment horizontal="left" vertical="center" wrapText="1"/>
      <protection locked="0"/>
    </xf>
    <xf numFmtId="38" fontId="14" fillId="18" borderId="1" xfId="2" applyFont="1" applyFill="1" applyBorder="1" applyAlignment="1" applyProtection="1">
      <alignment horizontal="center" vertical="center"/>
      <protection locked="0"/>
    </xf>
    <xf numFmtId="0" fontId="6" fillId="0" borderId="0" xfId="1" applyFont="1" applyAlignment="1" applyProtection="1">
      <alignment horizontal="center" vertical="center"/>
      <protection locked="0"/>
    </xf>
    <xf numFmtId="0" fontId="6" fillId="0" borderId="2" xfId="1" applyFont="1" applyBorder="1" applyAlignment="1" applyProtection="1">
      <alignment horizontal="center" vertical="center"/>
      <protection locked="0"/>
    </xf>
    <xf numFmtId="38" fontId="20" fillId="0" borderId="1" xfId="1" applyNumberFormat="1" applyFont="1" applyBorder="1" applyAlignment="1" applyProtection="1">
      <alignment horizontal="center" vertical="center"/>
      <protection hidden="1"/>
    </xf>
    <xf numFmtId="0" fontId="20" fillId="0" borderId="1" xfId="1" applyFont="1" applyBorder="1" applyAlignment="1" applyProtection="1">
      <alignment horizontal="center" vertical="center"/>
      <protection hidden="1"/>
    </xf>
    <xf numFmtId="38" fontId="20" fillId="17" borderId="3" xfId="1" applyNumberFormat="1" applyFont="1" applyFill="1" applyBorder="1" applyAlignment="1" applyProtection="1">
      <alignment horizontal="right" vertical="center" shrinkToFit="1"/>
      <protection hidden="1"/>
    </xf>
    <xf numFmtId="0" fontId="20" fillId="17" borderId="4" xfId="1" applyFont="1" applyFill="1" applyBorder="1" applyAlignment="1" applyProtection="1">
      <alignment horizontal="right" vertical="center" shrinkToFit="1"/>
      <protection hidden="1"/>
    </xf>
    <xf numFmtId="0" fontId="14" fillId="0" borderId="14" xfId="1" applyFont="1" applyBorder="1" applyAlignment="1" applyProtection="1">
      <alignment horizontal="center" vertical="center" textRotation="255"/>
      <protection locked="0"/>
    </xf>
    <xf numFmtId="0" fontId="14" fillId="0" borderId="16" xfId="1" applyFont="1" applyBorder="1" applyAlignment="1" applyProtection="1">
      <alignment horizontal="center" vertical="center" textRotation="255"/>
      <protection locked="0"/>
    </xf>
    <xf numFmtId="0" fontId="14" fillId="0" borderId="20" xfId="1" applyFont="1" applyBorder="1" applyAlignment="1" applyProtection="1">
      <alignment horizontal="center" vertical="center" textRotation="255"/>
      <protection locked="0"/>
    </xf>
    <xf numFmtId="0" fontId="14" fillId="0" borderId="21" xfId="1" applyFont="1" applyBorder="1" applyAlignment="1" applyProtection="1">
      <alignment horizontal="center" vertical="center" textRotation="255"/>
      <protection locked="0"/>
    </xf>
    <xf numFmtId="38" fontId="14" fillId="0" borderId="10" xfId="2" applyFont="1" applyFill="1" applyBorder="1" applyAlignment="1" applyProtection="1">
      <alignment horizontal="center" vertical="center"/>
      <protection locked="0"/>
    </xf>
    <xf numFmtId="38" fontId="14" fillId="0" borderId="13" xfId="2" applyFont="1" applyFill="1" applyBorder="1" applyAlignment="1" applyProtection="1">
      <alignment horizontal="center" vertical="center"/>
      <protection locked="0"/>
    </xf>
    <xf numFmtId="38" fontId="14" fillId="0" borderId="10" xfId="2" applyFont="1" applyFill="1" applyBorder="1" applyAlignment="1" applyProtection="1">
      <alignment horizontal="center" vertical="center" wrapText="1"/>
      <protection locked="0"/>
    </xf>
    <xf numFmtId="0" fontId="17" fillId="0" borderId="10" xfId="2" applyNumberFormat="1" applyFont="1" applyFill="1" applyBorder="1" applyAlignment="1" applyProtection="1">
      <alignment horizontal="center" vertical="center" wrapText="1" shrinkToFit="1"/>
      <protection locked="0"/>
    </xf>
    <xf numFmtId="0" fontId="17" fillId="0" borderId="13" xfId="2" applyNumberFormat="1" applyFont="1" applyFill="1" applyBorder="1" applyAlignment="1" applyProtection="1">
      <alignment horizontal="center" vertical="center" wrapText="1" shrinkToFit="1"/>
      <protection locked="0"/>
    </xf>
    <xf numFmtId="0" fontId="14" fillId="0" borderId="10" xfId="2" applyNumberFormat="1" applyFont="1" applyFill="1" applyBorder="1" applyAlignment="1" applyProtection="1">
      <alignment horizontal="center" vertical="center" wrapText="1"/>
      <protection locked="0"/>
    </xf>
    <xf numFmtId="0" fontId="14" fillId="0" borderId="13" xfId="2" applyNumberFormat="1" applyFont="1" applyFill="1" applyBorder="1" applyAlignment="1" applyProtection="1">
      <alignment horizontal="center" vertical="center"/>
      <protection locked="0"/>
    </xf>
    <xf numFmtId="0" fontId="14" fillId="0" borderId="3" xfId="1" applyFont="1" applyBorder="1" applyAlignment="1" applyProtection="1">
      <alignment horizontal="center" vertical="center"/>
      <protection locked="0"/>
    </xf>
    <xf numFmtId="0" fontId="14" fillId="0" borderId="4" xfId="1" applyFont="1" applyBorder="1" applyAlignment="1" applyProtection="1">
      <alignment horizontal="center" vertical="center"/>
      <protection locked="0"/>
    </xf>
    <xf numFmtId="38" fontId="14" fillId="16" borderId="1" xfId="2" applyFont="1" applyFill="1" applyBorder="1" applyAlignment="1" applyProtection="1">
      <alignment horizontal="center" vertical="center" textRotation="255"/>
      <protection locked="0"/>
    </xf>
    <xf numFmtId="38" fontId="14" fillId="19" borderId="1" xfId="2" applyFont="1" applyFill="1" applyBorder="1" applyAlignment="1" applyProtection="1">
      <alignment horizontal="center" vertical="center" textRotation="255"/>
      <protection locked="0"/>
    </xf>
    <xf numFmtId="49" fontId="17" fillId="19" borderId="1" xfId="2" applyNumberFormat="1" applyFont="1" applyFill="1" applyBorder="1" applyAlignment="1" applyProtection="1">
      <alignment horizontal="center" vertical="center"/>
    </xf>
    <xf numFmtId="49" fontId="21" fillId="16" borderId="1" xfId="2" applyNumberFormat="1" applyFont="1" applyFill="1" applyBorder="1" applyAlignment="1" applyProtection="1">
      <alignment horizontal="center" vertical="center"/>
    </xf>
    <xf numFmtId="38" fontId="14" fillId="11" borderId="1" xfId="2" applyFont="1" applyFill="1" applyBorder="1" applyAlignment="1" applyProtection="1">
      <alignment horizontal="center" vertical="center" textRotation="255"/>
      <protection locked="0"/>
    </xf>
    <xf numFmtId="38" fontId="14" fillId="20" borderId="1" xfId="2" applyFont="1" applyFill="1" applyBorder="1" applyAlignment="1" applyProtection="1">
      <alignment horizontal="center" vertical="center" textRotation="255"/>
      <protection locked="0"/>
    </xf>
    <xf numFmtId="49" fontId="17" fillId="20" borderId="1" xfId="2" applyNumberFormat="1" applyFont="1" applyFill="1" applyBorder="1" applyAlignment="1" applyProtection="1">
      <alignment horizontal="center" vertical="center"/>
    </xf>
    <xf numFmtId="49" fontId="21" fillId="11" borderId="1" xfId="2" applyNumberFormat="1" applyFont="1" applyFill="1" applyBorder="1" applyAlignment="1" applyProtection="1">
      <alignment horizontal="center" vertical="center"/>
    </xf>
    <xf numFmtId="38" fontId="14" fillId="13" borderId="1" xfId="2" applyFont="1" applyFill="1" applyBorder="1" applyAlignment="1" applyProtection="1">
      <alignment horizontal="center" vertical="center" textRotation="255"/>
      <protection locked="0"/>
    </xf>
    <xf numFmtId="38" fontId="14" fillId="21" borderId="1" xfId="2" applyFont="1" applyFill="1" applyBorder="1" applyAlignment="1" applyProtection="1">
      <alignment horizontal="center" vertical="center" textRotation="255"/>
      <protection locked="0"/>
    </xf>
    <xf numFmtId="49" fontId="14" fillId="21" borderId="1" xfId="2" applyNumberFormat="1" applyFont="1" applyFill="1" applyBorder="1" applyAlignment="1" applyProtection="1">
      <alignment horizontal="center" vertical="center"/>
    </xf>
    <xf numFmtId="49" fontId="21" fillId="13" borderId="1" xfId="2" applyNumberFormat="1" applyFont="1" applyFill="1" applyBorder="1" applyAlignment="1" applyProtection="1">
      <alignment horizontal="center" vertical="center"/>
    </xf>
    <xf numFmtId="38" fontId="14" fillId="8" borderId="1" xfId="2" applyFont="1" applyFill="1" applyBorder="1" applyAlignment="1" applyProtection="1">
      <alignment horizontal="center" vertical="center" textRotation="255"/>
      <protection locked="0"/>
    </xf>
    <xf numFmtId="49" fontId="21" fillId="8" borderId="1" xfId="2" applyNumberFormat="1" applyFont="1" applyFill="1" applyBorder="1" applyAlignment="1" applyProtection="1">
      <alignment horizontal="center" vertical="center"/>
    </xf>
    <xf numFmtId="38" fontId="14" fillId="9" borderId="1" xfId="2" applyFont="1" applyFill="1" applyBorder="1" applyAlignment="1" applyProtection="1">
      <alignment horizontal="center" vertical="center" textRotation="255"/>
      <protection locked="0"/>
    </xf>
    <xf numFmtId="49" fontId="21" fillId="9" borderId="1" xfId="2" applyNumberFormat="1" applyFont="1" applyFill="1" applyBorder="1" applyAlignment="1" applyProtection="1">
      <alignment horizontal="center" vertical="center"/>
    </xf>
    <xf numFmtId="38" fontId="14" fillId="10" borderId="1" xfId="2" applyFont="1" applyFill="1" applyBorder="1" applyAlignment="1" applyProtection="1">
      <alignment horizontal="center" vertical="center" textRotation="255"/>
      <protection locked="0"/>
    </xf>
    <xf numFmtId="49" fontId="21" fillId="10" borderId="1" xfId="2" applyNumberFormat="1" applyFont="1" applyFill="1" applyBorder="1" applyAlignment="1" applyProtection="1">
      <alignment horizontal="center" vertical="center"/>
    </xf>
    <xf numFmtId="38" fontId="21" fillId="0" borderId="15" xfId="2" applyFont="1" applyFill="1" applyBorder="1" applyAlignment="1" applyProtection="1">
      <alignment horizontal="right" vertical="center"/>
      <protection locked="0"/>
    </xf>
    <xf numFmtId="38" fontId="21" fillId="0" borderId="22" xfId="2" applyFont="1" applyFill="1" applyBorder="1" applyAlignment="1" applyProtection="1">
      <alignment horizontal="right" vertical="center"/>
      <protection locked="0"/>
    </xf>
    <xf numFmtId="38" fontId="21" fillId="0" borderId="0" xfId="2" applyFont="1" applyFill="1" applyBorder="1" applyAlignment="1" applyProtection="1">
      <alignment horizontal="right" vertical="center"/>
      <protection locked="0"/>
    </xf>
    <xf numFmtId="38" fontId="21" fillId="0" borderId="25" xfId="2" applyFont="1" applyFill="1" applyBorder="1" applyAlignment="1" applyProtection="1">
      <alignment horizontal="right" vertical="center"/>
      <protection locked="0"/>
    </xf>
    <xf numFmtId="38" fontId="14" fillId="12" borderId="1" xfId="2" applyFont="1" applyFill="1" applyBorder="1" applyAlignment="1" applyProtection="1">
      <alignment horizontal="center" vertical="center" textRotation="255"/>
      <protection locked="0"/>
    </xf>
    <xf numFmtId="49" fontId="21" fillId="12" borderId="1" xfId="2" applyNumberFormat="1" applyFont="1" applyFill="1" applyBorder="1" applyAlignment="1" applyProtection="1">
      <alignment horizontal="center" vertical="center"/>
    </xf>
    <xf numFmtId="38" fontId="12" fillId="22" borderId="1" xfId="2" applyFont="1" applyFill="1" applyBorder="1" applyAlignment="1" applyProtection="1">
      <alignment horizontal="center" vertical="center" textRotation="255" shrinkToFit="1"/>
      <protection locked="0"/>
    </xf>
    <xf numFmtId="49" fontId="23" fillId="22" borderId="1" xfId="2" applyNumberFormat="1" applyFont="1" applyFill="1" applyBorder="1" applyAlignment="1" applyProtection="1">
      <alignment horizontal="center" vertical="center"/>
    </xf>
    <xf numFmtId="38" fontId="12" fillId="15" borderId="1" xfId="2" applyFont="1" applyFill="1" applyBorder="1" applyAlignment="1" applyProtection="1">
      <alignment horizontal="center" vertical="center" textRotation="255" shrinkToFit="1"/>
      <protection locked="0"/>
    </xf>
    <xf numFmtId="0" fontId="23" fillId="15" borderId="1" xfId="2" applyNumberFormat="1" applyFont="1" applyFill="1" applyBorder="1" applyAlignment="1" applyProtection="1">
      <alignment horizontal="center" vertical="center"/>
    </xf>
    <xf numFmtId="38" fontId="8" fillId="3" borderId="1" xfId="2" applyFont="1" applyFill="1" applyBorder="1" applyAlignment="1" applyProtection="1">
      <alignment horizontal="center" vertical="center"/>
      <protection locked="0"/>
    </xf>
  </cellXfs>
  <cellStyles count="3">
    <cellStyle name="桁区切り 2" xfId="2" xr:uid="{E30AA887-DA19-41D2-88D6-F9C17481F61B}"/>
    <cellStyle name="標準" xfId="0" builtinId="0"/>
    <cellStyle name="標準 3 2" xfId="1" xr:uid="{971EDDB4-12E1-4845-B756-81F7ADE9EA48}"/>
  </cellStyles>
  <dxfs count="7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border outline="0">
        <top style="thin">
          <color theme="4"/>
        </top>
        <bottom style="thin">
          <color theme="4"/>
        </bottom>
      </border>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border outline="0">
        <top style="thin">
          <color theme="9"/>
        </top>
        <bottom style="thin">
          <color theme="9"/>
        </bottom>
      </border>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border outline="0">
        <top style="thin">
          <color theme="7"/>
        </top>
        <bottom style="thin">
          <color theme="7"/>
        </bottom>
      </border>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18</xdr:row>
          <xdr:rowOff>25400</xdr:rowOff>
        </xdr:from>
        <xdr:to>
          <xdr:col>1</xdr:col>
          <xdr:colOff>1092200</xdr:colOff>
          <xdr:row>20</xdr:row>
          <xdr:rowOff>50800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次期管理ファイル作成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21</xdr:row>
          <xdr:rowOff>101600</xdr:rowOff>
        </xdr:from>
        <xdr:to>
          <xdr:col>1</xdr:col>
          <xdr:colOff>1104900</xdr:colOff>
          <xdr:row>23</xdr:row>
          <xdr:rowOff>127000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 ファイルを転記</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D2D66E-FFA8-624D-A0C8-85F65AD804D0}" name="請求時管理6" displayName="請求時管理6" ref="N4:V16" totalsRowShown="0" headerRowDxfId="70" dataDxfId="69">
  <autoFilter ref="N4:V16" xr:uid="{7FD2D66E-FFA8-624D-A0C8-85F65AD804D0}"/>
  <tableColumns count="9">
    <tableColumn id="1" xr3:uid="{D9EFAD7A-88B7-9E42-A407-6B0E5EE6CDB8}" name="再請求管理" dataDxfId="68"/>
    <tableColumn id="3" xr3:uid="{CC69D6B2-F072-AB44-BA86-109D6AB6BF53}" name="社保請求" dataDxfId="67"/>
    <tableColumn id="4" xr3:uid="{68E8D1B0-C8ED-FB4F-8D4D-7F3E03085906}" name="国保請求" dataDxfId="66"/>
    <tableColumn id="5" xr3:uid="{49E122A0-80CA-D647-95CA-61C3D1146C1B}" name="連記請求" dataDxfId="65"/>
    <tableColumn id="6" xr3:uid="{F8A8B7D9-172B-E247-99BA-F0C90992995B}" name="労災請求" dataDxfId="64"/>
    <tableColumn id="7" xr3:uid="{9A787F4F-E085-C74C-AB28-013557C2AB0C}" name="公害請求" dataDxfId="63"/>
    <tableColumn id="8" xr3:uid="{11427C27-776C-6A4A-9253-D1F0396F83F6}" name="自賠請求" dataDxfId="62"/>
    <tableColumn id="9" xr3:uid="{8A72692A-A521-E94C-918A-3483E814491A}" name="介護請求" dataDxfId="61"/>
    <tableColumn id="10" xr3:uid="{60313489-46BC-0F40-B11C-90A6C7F1EA68}" name="その他（）" dataDxfId="6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35037-24E3-6E4E-8C55-4758D1754EF8}" name="テーブル6" displayName="テーブル6" ref="D4:L16" totalsRowShown="0" headerRowDxfId="59" dataDxfId="58" tableBorderDxfId="57">
  <autoFilter ref="D4:L16" xr:uid="{49E35037-24E3-6E4E-8C55-4758D1754EF8}"/>
  <tableColumns count="9">
    <tableColumn id="1" xr3:uid="{E89FCC0D-FB63-2848-95A1-BE0BA67499F4}" name="請求時管理" dataDxfId="56"/>
    <tableColumn id="2" xr3:uid="{E7AAFDEF-95C4-484D-AEA7-A00A4A807B32}" name="社保請求" dataDxfId="55"/>
    <tableColumn id="3" xr3:uid="{6C00739C-60B2-C745-B635-53F5DA05929F}" name="国保請求" dataDxfId="54"/>
    <tableColumn id="4" xr3:uid="{F07ECA8B-25D3-6D42-B215-A1C2919F0436}" name="連記請求" dataDxfId="53"/>
    <tableColumn id="5" xr3:uid="{E0501B67-5542-E04C-A894-E98257323C78}" name="労災請求" dataDxfId="52"/>
    <tableColumn id="6" xr3:uid="{50D394B4-7ECA-A44B-B40C-A7903529EE52}" name="公害請求" dataDxfId="51"/>
    <tableColumn id="7" xr3:uid="{B627B587-800F-6943-8578-B258FB6A34E0}" name="自賠請求" dataDxfId="50"/>
    <tableColumn id="8" xr3:uid="{54592948-75D7-E64A-A9CE-C08B4235B520}" name="介護請求" dataDxfId="49"/>
    <tableColumn id="9" xr3:uid="{EAE1C220-7438-724C-8703-B55F235E0693}" name="その他（）" dataDxfId="48"/>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5A84ED-0184-9042-9C01-661141D78901}" name="テーブル7" displayName="テーブル7" ref="D18:L30" totalsRowShown="0" headerRowDxfId="47" dataDxfId="46" tableBorderDxfId="45">
  <autoFilter ref="D18:L30" xr:uid="{EE5A84ED-0184-9042-9C01-661141D78901}"/>
  <tableColumns count="9">
    <tableColumn id="1" xr3:uid="{F7E8652A-CDFE-D34A-8E6A-227CE52F7933}" name="入金額管理" dataDxfId="44"/>
    <tableColumn id="2" xr3:uid="{BBEC95B0-F177-4E42-B177-C2C6E4932097}" name="社保請求" dataDxfId="43"/>
    <tableColumn id="3" xr3:uid="{9521DD2D-91FA-FB4F-BFC4-A43948AD0A7E}" name="国保請求" dataDxfId="42"/>
    <tableColumn id="4" xr3:uid="{E975A8A7-175E-D347-A64E-B37EA45ADA3A}" name="連記請求" dataDxfId="41"/>
    <tableColumn id="5" xr3:uid="{8A5B9DE4-E0C6-8247-A95C-F17DBA3B30AA}" name="労災請求" dataDxfId="40"/>
    <tableColumn id="6" xr3:uid="{10A96DA1-C0F1-1246-A85B-F3E575E53602}" name="公害請求" dataDxfId="39"/>
    <tableColumn id="7" xr3:uid="{4CF2A0A6-0CA9-614C-B227-8B72B2232994}" name="自賠請求" dataDxfId="38"/>
    <tableColumn id="8" xr3:uid="{6CA75843-E6D5-7C40-B37D-97C0D0DFD54B}" name="介護請求" dataDxfId="37"/>
    <tableColumn id="9" xr3:uid="{6B245565-D72F-D449-897D-8FB8152A66FB}" name="その他（）" dataDxfId="36"/>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3E67E6F-2201-EB48-A5D8-37893679ED2E}" name="テーブル8" displayName="テーブル8" ref="N18:V30" totalsRowShown="0" headerRowDxfId="35" dataDxfId="34" tableBorderDxfId="33">
  <autoFilter ref="N18:V30" xr:uid="{E3E67E6F-2201-EB48-A5D8-37893679ED2E}"/>
  <tableColumns count="9">
    <tableColumn id="1" xr3:uid="{B788CAC5-4A37-C748-A720-1DF188F626A2}" name="請求入金差額" dataDxfId="32"/>
    <tableColumn id="2" xr3:uid="{F0AA9ECB-9808-8D43-A13D-E568A23A4557}" name="社保請求" dataDxfId="31">
      <calculatedColumnFormula>E19-E5-O5</calculatedColumnFormula>
    </tableColumn>
    <tableColumn id="3" xr3:uid="{18CA2668-4282-2C4D-A9C1-250F318EC5DB}" name="国保請求" dataDxfId="30">
      <calculatedColumnFormula>F19-F5-P5</calculatedColumnFormula>
    </tableColumn>
    <tableColumn id="4" xr3:uid="{BDDD4DA1-BFA3-CE48-A0C7-43D7E2D6A9E8}" name="連記請求" dataDxfId="29">
      <calculatedColumnFormula>G19-G5-Q5</calculatedColumnFormula>
    </tableColumn>
    <tableColumn id="5" xr3:uid="{2D7FEA7A-38DE-CA44-BDC0-975328750DC1}" name="労災請求" dataDxfId="28">
      <calculatedColumnFormula>H19-H5-R5</calculatedColumnFormula>
    </tableColumn>
    <tableColumn id="6" xr3:uid="{391D229E-A081-BC4F-99AC-A1CB5046831C}" name="公害請求" dataDxfId="27">
      <calculatedColumnFormula>-S5</calculatedColumnFormula>
    </tableColumn>
    <tableColumn id="7" xr3:uid="{02B8CAB7-014B-F24B-A077-EE5FC50CB0A8}" name="自賠請求" dataDxfId="26">
      <calculatedColumnFormula>J19-J5-T5</calculatedColumnFormula>
    </tableColumn>
    <tableColumn id="8" xr3:uid="{26F3E199-FA3E-E24B-803D-088EAB73C730}" name="介護請求" dataDxfId="25">
      <calculatedColumnFormula>K19-K5-U5</calculatedColumnFormula>
    </tableColumn>
    <tableColumn id="9" xr3:uid="{313A4A8C-C514-BC40-A212-C7F1EF652A2C}" name="その他（）" dataDxfId="24">
      <calculatedColumnFormula>L19-L5-V5</calculatedColumnFormula>
    </tableColumn>
  </tableColumns>
  <tableStyleInfo name="TableStyleLight6"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56C4-080D-4B68-A6E1-904256522EB5}">
  <sheetPr codeName="Sheet1"/>
  <dimension ref="A1:V44"/>
  <sheetViews>
    <sheetView tabSelected="1" zoomScale="125" zoomScaleNormal="85" workbookViewId="0">
      <selection activeCell="F12" sqref="F12"/>
    </sheetView>
  </sheetViews>
  <sheetFormatPr baseColWidth="10" defaultColWidth="8.83203125" defaultRowHeight="14"/>
  <cols>
    <col min="1" max="2" width="16.33203125" customWidth="1"/>
    <col min="3" max="3" width="2.6640625" customWidth="1"/>
    <col min="4" max="12" width="16.33203125" customWidth="1"/>
    <col min="13" max="13" width="3.1640625" customWidth="1"/>
    <col min="14" max="14" width="16.33203125" customWidth="1"/>
    <col min="15" max="29" width="13.33203125" customWidth="1"/>
  </cols>
  <sheetData>
    <row r="1" spans="1:22">
      <c r="A1" s="1" t="s">
        <v>0</v>
      </c>
      <c r="B1" s="155">
        <v>2024</v>
      </c>
      <c r="C1" s="166">
        <f>DATE(B1-1,5,16)</f>
        <v>45062</v>
      </c>
      <c r="D1" s="145"/>
      <c r="E1" s="156">
        <f>DATE(B1,3,1)-1</f>
        <v>45351</v>
      </c>
    </row>
    <row r="2" spans="1:22">
      <c r="A2" s="1" t="s">
        <v>1</v>
      </c>
      <c r="B2" s="157" t="s">
        <v>156</v>
      </c>
      <c r="C2" s="146"/>
      <c r="D2" s="146"/>
    </row>
    <row r="4" spans="1:22">
      <c r="A4" s="140" t="s">
        <v>2</v>
      </c>
      <c r="B4" s="140" t="s">
        <v>3</v>
      </c>
      <c r="C4" s="152"/>
      <c r="D4" s="152" t="s">
        <v>2</v>
      </c>
      <c r="E4" s="152" t="s">
        <v>4</v>
      </c>
      <c r="F4" s="152" t="s">
        <v>5</v>
      </c>
      <c r="G4" s="152" t="s">
        <v>6</v>
      </c>
      <c r="H4" s="152" t="s">
        <v>7</v>
      </c>
      <c r="I4" s="152" t="s">
        <v>8</v>
      </c>
      <c r="J4" s="152" t="s">
        <v>9</v>
      </c>
      <c r="K4" s="152" t="s">
        <v>10</v>
      </c>
      <c r="L4" s="152" t="s">
        <v>11</v>
      </c>
      <c r="N4" t="s">
        <v>143</v>
      </c>
      <c r="O4" s="146" t="s">
        <v>4</v>
      </c>
      <c r="P4" s="146" t="s">
        <v>5</v>
      </c>
      <c r="Q4" s="146" t="s">
        <v>6</v>
      </c>
      <c r="R4" s="146" t="s">
        <v>7</v>
      </c>
      <c r="S4" s="146" t="s">
        <v>8</v>
      </c>
      <c r="T4" s="146" t="s">
        <v>9</v>
      </c>
      <c r="U4" s="146" t="s">
        <v>10</v>
      </c>
      <c r="V4" s="146" t="s">
        <v>11</v>
      </c>
    </row>
    <row r="5" spans="1:22">
      <c r="A5" s="165" t="str">
        <f t="shared" ref="A5" si="0">TEXT($C$1,"ggge年")&amp; "3月調剤分"</f>
        <v>令和5年3月調剤分</v>
      </c>
      <c r="B5" s="141">
        <v>10099748</v>
      </c>
      <c r="C5" s="142"/>
      <c r="D5" s="158" t="s">
        <v>144</v>
      </c>
      <c r="E5" s="147">
        <v>9168780</v>
      </c>
      <c r="F5" s="147">
        <v>927504</v>
      </c>
      <c r="G5" s="147">
        <v>0</v>
      </c>
      <c r="H5" s="147">
        <v>0</v>
      </c>
      <c r="I5" s="147">
        <v>0</v>
      </c>
      <c r="J5" s="147">
        <v>0</v>
      </c>
      <c r="K5" s="147">
        <v>0</v>
      </c>
      <c r="L5" s="147"/>
      <c r="N5" t="s">
        <v>144</v>
      </c>
      <c r="O5" s="159">
        <v>0</v>
      </c>
      <c r="P5" s="159">
        <v>0</v>
      </c>
      <c r="Q5" s="159">
        <v>0</v>
      </c>
      <c r="R5" s="159">
        <v>0</v>
      </c>
      <c r="S5" s="159">
        <v>0</v>
      </c>
      <c r="T5" s="159">
        <v>0</v>
      </c>
      <c r="U5" s="159">
        <v>0</v>
      </c>
      <c r="V5" s="159"/>
    </row>
    <row r="6" spans="1:22">
      <c r="A6" s="165" t="str">
        <f>TEXT($C$1,"ggge年")&amp; "4月調剤分"</f>
        <v>令和5年4月調剤分</v>
      </c>
      <c r="B6" s="142">
        <v>6216377</v>
      </c>
      <c r="C6" s="142"/>
      <c r="D6" s="160" t="s">
        <v>145</v>
      </c>
      <c r="E6" s="142">
        <v>1388259</v>
      </c>
      <c r="F6" s="142">
        <v>4834012</v>
      </c>
      <c r="G6" s="142"/>
      <c r="H6" s="142"/>
      <c r="I6" s="142"/>
      <c r="J6" s="142"/>
      <c r="K6" s="142"/>
      <c r="L6" s="142"/>
      <c r="N6" t="s">
        <v>145</v>
      </c>
      <c r="O6" s="159"/>
      <c r="P6" s="159"/>
      <c r="Q6" s="159"/>
      <c r="R6" s="159"/>
      <c r="S6" s="159"/>
      <c r="T6" s="159"/>
      <c r="U6" s="159"/>
      <c r="V6" s="159"/>
    </row>
    <row r="7" spans="1:22">
      <c r="A7" s="165" t="str">
        <f>TEXT($C$1,"ggge年")&amp; "5月調剤分"</f>
        <v>令和5年5月調剤分</v>
      </c>
      <c r="B7" s="143">
        <v>3270439</v>
      </c>
      <c r="C7" s="142"/>
      <c r="D7" s="160" t="s">
        <v>146</v>
      </c>
      <c r="E7" s="142">
        <v>1728317</v>
      </c>
      <c r="F7" s="142">
        <v>1533607</v>
      </c>
      <c r="G7" s="142"/>
      <c r="H7" s="142"/>
      <c r="I7" s="142"/>
      <c r="J7" s="142"/>
      <c r="K7" s="142"/>
      <c r="L7" s="142"/>
      <c r="N7" t="s">
        <v>146</v>
      </c>
      <c r="O7" s="159"/>
      <c r="P7" s="159"/>
      <c r="Q7" s="159"/>
      <c r="R7" s="159"/>
      <c r="S7" s="159"/>
      <c r="T7" s="159"/>
      <c r="U7" s="159"/>
      <c r="V7" s="159"/>
    </row>
    <row r="8" spans="1:22">
      <c r="A8" s="165" t="str">
        <f>TEXT($C$1,"ggge年")&amp; "6月調剤分"</f>
        <v>令和5年6月調剤分</v>
      </c>
      <c r="B8" s="142">
        <v>10261901</v>
      </c>
      <c r="C8" s="142"/>
      <c r="D8" s="160" t="s">
        <v>147</v>
      </c>
      <c r="E8" s="142">
        <v>8032019</v>
      </c>
      <c r="F8" s="142">
        <v>2237621</v>
      </c>
      <c r="G8" s="142"/>
      <c r="H8" s="142"/>
      <c r="I8" s="142"/>
      <c r="J8" s="142"/>
      <c r="K8" s="142"/>
      <c r="L8" s="142"/>
      <c r="N8" t="s">
        <v>147</v>
      </c>
      <c r="O8" s="159"/>
      <c r="P8" s="159"/>
      <c r="Q8" s="159"/>
      <c r="R8" s="159"/>
      <c r="S8" s="159"/>
      <c r="T8" s="159"/>
      <c r="U8" s="159"/>
      <c r="V8" s="159"/>
    </row>
    <row r="9" spans="1:22">
      <c r="A9" s="165" t="str">
        <f>TEXT($C$1,"ggge年")&amp; "7月調剤分"</f>
        <v>令和5年7月調剤分</v>
      </c>
      <c r="B9" s="143">
        <v>4892311</v>
      </c>
      <c r="C9" s="142"/>
      <c r="D9" s="160" t="s">
        <v>148</v>
      </c>
      <c r="E9" s="142">
        <v>1638472</v>
      </c>
      <c r="F9" s="142">
        <v>3240217</v>
      </c>
      <c r="G9" s="142"/>
      <c r="H9" s="142"/>
      <c r="I9" s="142"/>
      <c r="J9" s="142"/>
      <c r="K9" s="142"/>
      <c r="L9" s="142"/>
      <c r="N9" t="s">
        <v>148</v>
      </c>
      <c r="O9" s="159"/>
      <c r="P9" s="159"/>
      <c r="Q9" s="159"/>
      <c r="R9" s="159"/>
      <c r="S9" s="159"/>
      <c r="T9" s="159"/>
      <c r="U9" s="159"/>
      <c r="V9" s="159"/>
    </row>
    <row r="10" spans="1:22">
      <c r="A10" s="165" t="str">
        <f>TEXT($C$1,"ggge年")&amp; "8月調剤分"</f>
        <v>令和5年8月調剤分</v>
      </c>
      <c r="B10" s="142"/>
      <c r="C10" s="142"/>
      <c r="D10" s="160" t="s">
        <v>149</v>
      </c>
      <c r="E10" s="142"/>
      <c r="F10" s="142"/>
      <c r="G10" s="142"/>
      <c r="H10" s="142"/>
      <c r="I10" s="142"/>
      <c r="J10" s="142"/>
      <c r="K10" s="142"/>
      <c r="L10" s="142"/>
      <c r="N10" t="s">
        <v>149</v>
      </c>
      <c r="O10" s="159"/>
      <c r="P10" s="159"/>
      <c r="Q10" s="159"/>
      <c r="R10" s="159"/>
      <c r="S10" s="159"/>
      <c r="T10" s="159"/>
      <c r="U10" s="159"/>
      <c r="V10" s="159"/>
    </row>
    <row r="11" spans="1:22">
      <c r="A11" s="165" t="str">
        <f>TEXT($C$1,"ggge年")&amp; "9月調剤分"</f>
        <v>令和5年9月調剤分</v>
      </c>
      <c r="B11" s="143"/>
      <c r="C11" s="142"/>
      <c r="D11" s="160" t="s">
        <v>150</v>
      </c>
      <c r="E11" s="142"/>
      <c r="F11" s="142"/>
      <c r="G11" s="142"/>
      <c r="H11" s="142"/>
      <c r="I11" s="142"/>
      <c r="J11" s="142"/>
      <c r="K11" s="142"/>
      <c r="L11" s="142"/>
      <c r="N11" t="s">
        <v>150</v>
      </c>
      <c r="O11" s="159"/>
      <c r="P11" s="159"/>
      <c r="Q11" s="159"/>
      <c r="R11" s="159"/>
      <c r="S11" s="159"/>
      <c r="T11" s="159"/>
      <c r="U11" s="159"/>
      <c r="V11" s="159"/>
    </row>
    <row r="12" spans="1:22">
      <c r="A12" s="165" t="str">
        <f>TEXT($C$1,"ggge年")&amp; "10月調剤分"</f>
        <v>令和5年10月調剤分</v>
      </c>
      <c r="B12" s="142"/>
      <c r="C12" s="142"/>
      <c r="D12" s="160" t="s">
        <v>151</v>
      </c>
      <c r="E12" s="142"/>
      <c r="F12" s="142"/>
      <c r="G12" s="142"/>
      <c r="H12" s="142"/>
      <c r="I12" s="142"/>
      <c r="J12" s="142"/>
      <c r="K12" s="142"/>
      <c r="L12" s="142"/>
      <c r="N12" t="s">
        <v>151</v>
      </c>
      <c r="O12" s="159"/>
      <c r="P12" s="159"/>
      <c r="Q12" s="159"/>
      <c r="R12" s="159"/>
      <c r="S12" s="159"/>
      <c r="T12" s="159"/>
      <c r="U12" s="159"/>
      <c r="V12" s="159"/>
    </row>
    <row r="13" spans="1:22">
      <c r="A13" s="165" t="str">
        <f>TEXT($C$1,"ggge年")&amp; "11月調剤分"</f>
        <v>令和5年11月調剤分</v>
      </c>
      <c r="B13" s="143"/>
      <c r="C13" s="142"/>
      <c r="D13" s="160" t="s">
        <v>152</v>
      </c>
      <c r="E13" s="142"/>
      <c r="F13" s="142"/>
      <c r="G13" s="142"/>
      <c r="H13" s="142"/>
      <c r="I13" s="142"/>
      <c r="J13" s="142"/>
      <c r="K13" s="142"/>
      <c r="L13" s="142"/>
      <c r="N13" t="s">
        <v>152</v>
      </c>
      <c r="O13" s="159"/>
      <c r="P13" s="159"/>
      <c r="Q13" s="159"/>
      <c r="R13" s="159"/>
      <c r="S13" s="159"/>
      <c r="T13" s="159"/>
      <c r="U13" s="159"/>
      <c r="V13" s="159"/>
    </row>
    <row r="14" spans="1:22">
      <c r="A14" s="165" t="str">
        <f>TEXT($C$1,"ggge年")&amp; "12月調剤分"</f>
        <v>令和5年12月調剤分</v>
      </c>
      <c r="B14" s="142"/>
      <c r="C14" s="142"/>
      <c r="D14" s="160" t="s">
        <v>153</v>
      </c>
      <c r="E14" s="142"/>
      <c r="F14" s="142"/>
      <c r="G14" s="142"/>
      <c r="H14" s="142"/>
      <c r="I14" s="142"/>
      <c r="J14" s="142"/>
      <c r="K14" s="142"/>
      <c r="L14" s="142"/>
      <c r="N14" t="s">
        <v>153</v>
      </c>
      <c r="O14" s="159"/>
      <c r="P14" s="159"/>
      <c r="Q14" s="159"/>
      <c r="R14" s="159"/>
      <c r="S14" s="159"/>
      <c r="T14" s="159"/>
      <c r="U14" s="159"/>
      <c r="V14" s="159"/>
    </row>
    <row r="15" spans="1:22">
      <c r="A15" s="165" t="str">
        <f>TEXT($C$1+365,"ggge年")&amp; "1月調剤分"</f>
        <v>令和6年1月調剤分</v>
      </c>
      <c r="B15" s="143"/>
      <c r="C15" s="142"/>
      <c r="D15" s="160" t="s">
        <v>154</v>
      </c>
      <c r="E15" s="142"/>
      <c r="F15" s="142"/>
      <c r="G15" s="142"/>
      <c r="H15" s="142"/>
      <c r="I15" s="142"/>
      <c r="J15" s="142"/>
      <c r="K15" s="142"/>
      <c r="L15" s="142"/>
      <c r="N15" t="s">
        <v>154</v>
      </c>
      <c r="O15" s="159"/>
      <c r="P15" s="159"/>
      <c r="Q15" s="159"/>
      <c r="R15" s="159"/>
      <c r="S15" s="159"/>
      <c r="T15" s="159"/>
      <c r="U15" s="159"/>
      <c r="V15" s="159"/>
    </row>
    <row r="16" spans="1:22">
      <c r="A16" s="165" t="str">
        <f>TEXT($C$1+365,"ggge年")&amp; "2月調剤分"</f>
        <v>令和6年2月調剤分</v>
      </c>
      <c r="B16" s="144"/>
      <c r="C16" s="142"/>
      <c r="D16" s="160" t="s">
        <v>155</v>
      </c>
      <c r="E16" s="142"/>
      <c r="F16" s="142"/>
      <c r="G16" s="142"/>
      <c r="H16" s="142"/>
      <c r="I16" s="142"/>
      <c r="J16" s="142"/>
      <c r="K16" s="142"/>
      <c r="L16" s="142"/>
      <c r="N16" t="s">
        <v>155</v>
      </c>
      <c r="O16" s="159"/>
      <c r="P16" s="159"/>
      <c r="Q16" s="159"/>
      <c r="R16" s="159"/>
      <c r="S16" s="159"/>
      <c r="T16" s="159"/>
      <c r="U16" s="159"/>
      <c r="V16" s="159"/>
    </row>
    <row r="17" spans="2:22">
      <c r="B17" s="146"/>
      <c r="C17" s="146"/>
      <c r="E17" s="146"/>
      <c r="F17" s="146"/>
      <c r="G17" s="146"/>
      <c r="H17" s="146"/>
      <c r="I17" s="146"/>
      <c r="J17" s="146"/>
      <c r="K17" s="146"/>
      <c r="L17" s="146"/>
    </row>
    <row r="18" spans="2:22">
      <c r="C18" s="153"/>
      <c r="D18" s="153" t="s">
        <v>12</v>
      </c>
      <c r="E18" s="153" t="s">
        <v>4</v>
      </c>
      <c r="F18" s="153" t="s">
        <v>5</v>
      </c>
      <c r="G18" s="153" t="s">
        <v>6</v>
      </c>
      <c r="H18" s="153" t="s">
        <v>7</v>
      </c>
      <c r="I18" s="153" t="s">
        <v>8</v>
      </c>
      <c r="J18" s="153" t="s">
        <v>9</v>
      </c>
      <c r="K18" s="153" t="s">
        <v>10</v>
      </c>
      <c r="L18" s="153" t="s">
        <v>11</v>
      </c>
      <c r="N18" s="154" t="s">
        <v>13</v>
      </c>
      <c r="O18" s="154" t="s">
        <v>4</v>
      </c>
      <c r="P18" s="154" t="s">
        <v>5</v>
      </c>
      <c r="Q18" s="154" t="s">
        <v>6</v>
      </c>
      <c r="R18" s="154" t="s">
        <v>7</v>
      </c>
      <c r="S18" s="154" t="s">
        <v>8</v>
      </c>
      <c r="T18" s="154" t="s">
        <v>9</v>
      </c>
      <c r="U18" s="154" t="s">
        <v>10</v>
      </c>
      <c r="V18" s="154" t="s">
        <v>11</v>
      </c>
    </row>
    <row r="19" spans="2:22">
      <c r="C19" s="149"/>
      <c r="D19" s="148" t="s">
        <v>144</v>
      </c>
      <c r="E19" s="161">
        <v>9163768</v>
      </c>
      <c r="F19" s="161">
        <v>917805</v>
      </c>
      <c r="G19" s="161"/>
      <c r="H19" s="161"/>
      <c r="I19" s="161"/>
      <c r="J19" s="161"/>
      <c r="K19" s="161"/>
      <c r="L19" s="161"/>
      <c r="N19" s="150" t="s">
        <v>144</v>
      </c>
      <c r="O19" s="163">
        <f t="shared" ref="O19:O30" si="1">E19-E5-O5</f>
        <v>-5012</v>
      </c>
      <c r="P19" s="163">
        <f t="shared" ref="P19:P30" si="2">F19-F5-P5</f>
        <v>-9699</v>
      </c>
      <c r="Q19" s="163">
        <f t="shared" ref="Q19:Q30" si="3">G19-G5-Q5</f>
        <v>0</v>
      </c>
      <c r="R19" s="163">
        <f t="shared" ref="R19:R30" si="4">H19-H5-R5</f>
        <v>0</v>
      </c>
      <c r="S19" s="163">
        <f t="shared" ref="S19:S30" si="5">-S5</f>
        <v>0</v>
      </c>
      <c r="T19" s="163">
        <f t="shared" ref="T19:T30" si="6">J19-J5-T5</f>
        <v>0</v>
      </c>
      <c r="U19" s="163">
        <f t="shared" ref="U19:U30" si="7">K19-K5-U5</f>
        <v>0</v>
      </c>
      <c r="V19" s="164">
        <f t="shared" ref="V19:V30" si="8">L19-L5-V5</f>
        <v>0</v>
      </c>
    </row>
    <row r="20" spans="2:22">
      <c r="C20" s="149"/>
      <c r="D20" s="149" t="s">
        <v>145</v>
      </c>
      <c r="E20" s="162">
        <v>1388259</v>
      </c>
      <c r="F20" s="162">
        <v>4834012</v>
      </c>
      <c r="G20" s="162"/>
      <c r="H20" s="162"/>
      <c r="I20" s="162"/>
      <c r="J20" s="162"/>
      <c r="K20" s="162"/>
      <c r="L20" s="162"/>
      <c r="N20" s="151" t="s">
        <v>145</v>
      </c>
      <c r="O20" s="164">
        <f t="shared" si="1"/>
        <v>0</v>
      </c>
      <c r="P20" s="164">
        <f t="shared" si="2"/>
        <v>0</v>
      </c>
      <c r="Q20" s="164">
        <f t="shared" si="3"/>
        <v>0</v>
      </c>
      <c r="R20" s="164">
        <f t="shared" si="4"/>
        <v>0</v>
      </c>
      <c r="S20" s="164">
        <f t="shared" si="5"/>
        <v>0</v>
      </c>
      <c r="T20" s="164">
        <f t="shared" si="6"/>
        <v>0</v>
      </c>
      <c r="U20" s="164">
        <f t="shared" si="7"/>
        <v>0</v>
      </c>
      <c r="V20" s="164">
        <f t="shared" si="8"/>
        <v>0</v>
      </c>
    </row>
    <row r="21" spans="2:22">
      <c r="C21" s="149"/>
      <c r="D21" s="149" t="s">
        <v>146</v>
      </c>
      <c r="E21" s="162">
        <v>1728317</v>
      </c>
      <c r="F21" s="162">
        <v>1532312</v>
      </c>
      <c r="G21" s="162"/>
      <c r="H21" s="162"/>
      <c r="I21" s="162"/>
      <c r="J21" s="162"/>
      <c r="K21" s="162"/>
      <c r="L21" s="162"/>
      <c r="N21" s="151" t="s">
        <v>146</v>
      </c>
      <c r="O21" s="164">
        <f t="shared" si="1"/>
        <v>0</v>
      </c>
      <c r="P21" s="164">
        <f t="shared" si="2"/>
        <v>-1295</v>
      </c>
      <c r="Q21" s="164">
        <f t="shared" si="3"/>
        <v>0</v>
      </c>
      <c r="R21" s="164">
        <f t="shared" si="4"/>
        <v>0</v>
      </c>
      <c r="S21" s="164">
        <f t="shared" si="5"/>
        <v>0</v>
      </c>
      <c r="T21" s="164">
        <f t="shared" si="6"/>
        <v>0</v>
      </c>
      <c r="U21" s="164">
        <f t="shared" si="7"/>
        <v>0</v>
      </c>
      <c r="V21" s="164">
        <f t="shared" si="8"/>
        <v>0</v>
      </c>
    </row>
    <row r="22" spans="2:22">
      <c r="C22" s="149"/>
      <c r="D22" s="149" t="s">
        <v>147</v>
      </c>
      <c r="E22" s="162"/>
      <c r="F22" s="162"/>
      <c r="G22" s="162"/>
      <c r="H22" s="162"/>
      <c r="I22" s="162"/>
      <c r="J22" s="162"/>
      <c r="K22" s="162"/>
      <c r="L22" s="162"/>
      <c r="N22" s="151" t="s">
        <v>147</v>
      </c>
      <c r="O22" s="164">
        <f t="shared" si="1"/>
        <v>-8032019</v>
      </c>
      <c r="P22" s="164">
        <f t="shared" si="2"/>
        <v>-2237621</v>
      </c>
      <c r="Q22" s="164">
        <f t="shared" si="3"/>
        <v>0</v>
      </c>
      <c r="R22" s="164">
        <f t="shared" si="4"/>
        <v>0</v>
      </c>
      <c r="S22" s="164">
        <f t="shared" si="5"/>
        <v>0</v>
      </c>
      <c r="T22" s="164">
        <f t="shared" si="6"/>
        <v>0</v>
      </c>
      <c r="U22" s="164">
        <f t="shared" si="7"/>
        <v>0</v>
      </c>
      <c r="V22" s="164">
        <f t="shared" si="8"/>
        <v>0</v>
      </c>
    </row>
    <row r="23" spans="2:22">
      <c r="C23" s="149"/>
      <c r="D23" s="149" t="s">
        <v>148</v>
      </c>
      <c r="E23" s="162"/>
      <c r="F23" s="162"/>
      <c r="G23" s="162"/>
      <c r="H23" s="162"/>
      <c r="I23" s="162"/>
      <c r="J23" s="162"/>
      <c r="K23" s="162"/>
      <c r="L23" s="162"/>
      <c r="N23" s="151" t="s">
        <v>148</v>
      </c>
      <c r="O23" s="164">
        <f t="shared" si="1"/>
        <v>-1638472</v>
      </c>
      <c r="P23" s="164">
        <f t="shared" si="2"/>
        <v>-3240217</v>
      </c>
      <c r="Q23" s="164">
        <f t="shared" si="3"/>
        <v>0</v>
      </c>
      <c r="R23" s="164">
        <f t="shared" si="4"/>
        <v>0</v>
      </c>
      <c r="S23" s="164">
        <f t="shared" si="5"/>
        <v>0</v>
      </c>
      <c r="T23" s="164">
        <f t="shared" si="6"/>
        <v>0</v>
      </c>
      <c r="U23" s="164">
        <f t="shared" si="7"/>
        <v>0</v>
      </c>
      <c r="V23" s="164">
        <f t="shared" si="8"/>
        <v>0</v>
      </c>
    </row>
    <row r="24" spans="2:22">
      <c r="C24" s="149"/>
      <c r="D24" s="149" t="s">
        <v>149</v>
      </c>
      <c r="E24" s="162"/>
      <c r="F24" s="162"/>
      <c r="G24" s="162"/>
      <c r="H24" s="162"/>
      <c r="I24" s="162"/>
      <c r="J24" s="162"/>
      <c r="K24" s="162"/>
      <c r="L24" s="162"/>
      <c r="N24" s="151" t="s">
        <v>149</v>
      </c>
      <c r="O24" s="164">
        <f t="shared" si="1"/>
        <v>0</v>
      </c>
      <c r="P24" s="164">
        <f t="shared" si="2"/>
        <v>0</v>
      </c>
      <c r="Q24" s="164">
        <f t="shared" si="3"/>
        <v>0</v>
      </c>
      <c r="R24" s="164">
        <f t="shared" si="4"/>
        <v>0</v>
      </c>
      <c r="S24" s="164">
        <f t="shared" si="5"/>
        <v>0</v>
      </c>
      <c r="T24" s="164">
        <f t="shared" si="6"/>
        <v>0</v>
      </c>
      <c r="U24" s="164">
        <f t="shared" si="7"/>
        <v>0</v>
      </c>
      <c r="V24" s="164">
        <f t="shared" si="8"/>
        <v>0</v>
      </c>
    </row>
    <row r="25" spans="2:22">
      <c r="C25" s="149"/>
      <c r="D25" s="149" t="s">
        <v>150</v>
      </c>
      <c r="E25" s="162"/>
      <c r="F25" s="162"/>
      <c r="G25" s="162"/>
      <c r="H25" s="162"/>
      <c r="I25" s="162"/>
      <c r="J25" s="162"/>
      <c r="K25" s="162"/>
      <c r="L25" s="162"/>
      <c r="N25" s="151" t="s">
        <v>150</v>
      </c>
      <c r="O25" s="164">
        <f t="shared" si="1"/>
        <v>0</v>
      </c>
      <c r="P25" s="164">
        <f t="shared" si="2"/>
        <v>0</v>
      </c>
      <c r="Q25" s="164">
        <f t="shared" si="3"/>
        <v>0</v>
      </c>
      <c r="R25" s="164">
        <f t="shared" si="4"/>
        <v>0</v>
      </c>
      <c r="S25" s="164">
        <f t="shared" si="5"/>
        <v>0</v>
      </c>
      <c r="T25" s="164">
        <f t="shared" si="6"/>
        <v>0</v>
      </c>
      <c r="U25" s="164">
        <f t="shared" si="7"/>
        <v>0</v>
      </c>
      <c r="V25" s="164">
        <f t="shared" si="8"/>
        <v>0</v>
      </c>
    </row>
    <row r="26" spans="2:22">
      <c r="C26" s="149"/>
      <c r="D26" s="149" t="s">
        <v>151</v>
      </c>
      <c r="E26" s="162"/>
      <c r="F26" s="162"/>
      <c r="G26" s="162"/>
      <c r="H26" s="162"/>
      <c r="I26" s="162"/>
      <c r="J26" s="162"/>
      <c r="K26" s="162"/>
      <c r="L26" s="162"/>
      <c r="N26" s="151" t="s">
        <v>151</v>
      </c>
      <c r="O26" s="164">
        <f t="shared" si="1"/>
        <v>0</v>
      </c>
      <c r="P26" s="164">
        <f t="shared" si="2"/>
        <v>0</v>
      </c>
      <c r="Q26" s="164">
        <f t="shared" si="3"/>
        <v>0</v>
      </c>
      <c r="R26" s="164">
        <f t="shared" si="4"/>
        <v>0</v>
      </c>
      <c r="S26" s="164">
        <f t="shared" si="5"/>
        <v>0</v>
      </c>
      <c r="T26" s="164">
        <f t="shared" si="6"/>
        <v>0</v>
      </c>
      <c r="U26" s="164">
        <f t="shared" si="7"/>
        <v>0</v>
      </c>
      <c r="V26" s="164">
        <f t="shared" si="8"/>
        <v>0</v>
      </c>
    </row>
    <row r="27" spans="2:22">
      <c r="C27" s="149"/>
      <c r="D27" s="149" t="s">
        <v>152</v>
      </c>
      <c r="E27" s="162"/>
      <c r="F27" s="162"/>
      <c r="G27" s="162"/>
      <c r="H27" s="162"/>
      <c r="I27" s="162"/>
      <c r="J27" s="162"/>
      <c r="K27" s="162"/>
      <c r="L27" s="162"/>
      <c r="N27" s="151" t="s">
        <v>152</v>
      </c>
      <c r="O27" s="164">
        <f t="shared" si="1"/>
        <v>0</v>
      </c>
      <c r="P27" s="164">
        <f t="shared" si="2"/>
        <v>0</v>
      </c>
      <c r="Q27" s="164">
        <f t="shared" si="3"/>
        <v>0</v>
      </c>
      <c r="R27" s="164">
        <f t="shared" si="4"/>
        <v>0</v>
      </c>
      <c r="S27" s="164">
        <f t="shared" si="5"/>
        <v>0</v>
      </c>
      <c r="T27" s="164">
        <f t="shared" si="6"/>
        <v>0</v>
      </c>
      <c r="U27" s="164">
        <f t="shared" si="7"/>
        <v>0</v>
      </c>
      <c r="V27" s="164">
        <f t="shared" si="8"/>
        <v>0</v>
      </c>
    </row>
    <row r="28" spans="2:22">
      <c r="C28" s="149"/>
      <c r="D28" s="149" t="s">
        <v>153</v>
      </c>
      <c r="E28" s="162"/>
      <c r="F28" s="162"/>
      <c r="G28" s="162"/>
      <c r="H28" s="162"/>
      <c r="I28" s="162"/>
      <c r="J28" s="162"/>
      <c r="K28" s="162"/>
      <c r="L28" s="162"/>
      <c r="N28" s="151" t="s">
        <v>153</v>
      </c>
      <c r="O28" s="164">
        <f t="shared" si="1"/>
        <v>0</v>
      </c>
      <c r="P28" s="164">
        <f t="shared" si="2"/>
        <v>0</v>
      </c>
      <c r="Q28" s="164">
        <f t="shared" si="3"/>
        <v>0</v>
      </c>
      <c r="R28" s="164">
        <f t="shared" si="4"/>
        <v>0</v>
      </c>
      <c r="S28" s="164">
        <f t="shared" si="5"/>
        <v>0</v>
      </c>
      <c r="T28" s="164">
        <f t="shared" si="6"/>
        <v>0</v>
      </c>
      <c r="U28" s="164">
        <f t="shared" si="7"/>
        <v>0</v>
      </c>
      <c r="V28" s="164">
        <f t="shared" si="8"/>
        <v>0</v>
      </c>
    </row>
    <row r="29" spans="2:22">
      <c r="C29" s="149"/>
      <c r="D29" s="149" t="s">
        <v>154</v>
      </c>
      <c r="E29" s="162"/>
      <c r="F29" s="162"/>
      <c r="G29" s="162"/>
      <c r="H29" s="162"/>
      <c r="I29" s="162"/>
      <c r="J29" s="162"/>
      <c r="K29" s="162"/>
      <c r="L29" s="162"/>
      <c r="N29" s="151" t="s">
        <v>154</v>
      </c>
      <c r="O29" s="164">
        <f t="shared" si="1"/>
        <v>0</v>
      </c>
      <c r="P29" s="164">
        <f t="shared" si="2"/>
        <v>0</v>
      </c>
      <c r="Q29" s="164">
        <f t="shared" si="3"/>
        <v>0</v>
      </c>
      <c r="R29" s="164">
        <f t="shared" si="4"/>
        <v>0</v>
      </c>
      <c r="S29" s="164">
        <f t="shared" si="5"/>
        <v>0</v>
      </c>
      <c r="T29" s="164">
        <f t="shared" si="6"/>
        <v>0</v>
      </c>
      <c r="U29" s="164">
        <f t="shared" si="7"/>
        <v>0</v>
      </c>
      <c r="V29" s="164">
        <f t="shared" si="8"/>
        <v>0</v>
      </c>
    </row>
    <row r="30" spans="2:22">
      <c r="C30" s="149"/>
      <c r="D30" s="149" t="s">
        <v>155</v>
      </c>
      <c r="E30" s="162"/>
      <c r="F30" s="162"/>
      <c r="G30" s="162"/>
      <c r="H30" s="162"/>
      <c r="I30" s="162"/>
      <c r="J30" s="162"/>
      <c r="K30" s="162"/>
      <c r="L30" s="162"/>
      <c r="N30" s="151" t="s">
        <v>155</v>
      </c>
      <c r="O30" s="164">
        <f t="shared" si="1"/>
        <v>0</v>
      </c>
      <c r="P30" s="164">
        <f t="shared" si="2"/>
        <v>0</v>
      </c>
      <c r="Q30" s="164">
        <f t="shared" si="3"/>
        <v>0</v>
      </c>
      <c r="R30" s="164">
        <f t="shared" si="4"/>
        <v>0</v>
      </c>
      <c r="S30" s="164">
        <f t="shared" si="5"/>
        <v>0</v>
      </c>
      <c r="T30" s="164">
        <f t="shared" si="6"/>
        <v>0</v>
      </c>
      <c r="U30" s="164">
        <f t="shared" si="7"/>
        <v>0</v>
      </c>
      <c r="V30" s="164">
        <f t="shared" si="8"/>
        <v>0</v>
      </c>
    </row>
    <row r="32" spans="2:22">
      <c r="C32" s="154"/>
    </row>
    <row r="33" spans="3:3">
      <c r="C33" s="151"/>
    </row>
    <row r="34" spans="3:3">
      <c r="C34" s="151"/>
    </row>
    <row r="35" spans="3:3">
      <c r="C35" s="151"/>
    </row>
    <row r="36" spans="3:3">
      <c r="C36" s="151"/>
    </row>
    <row r="37" spans="3:3">
      <c r="C37" s="151"/>
    </row>
    <row r="38" spans="3:3">
      <c r="C38" s="151"/>
    </row>
    <row r="39" spans="3:3">
      <c r="C39" s="151"/>
    </row>
    <row r="40" spans="3:3">
      <c r="C40" s="151"/>
    </row>
    <row r="41" spans="3:3">
      <c r="C41" s="151"/>
    </row>
    <row r="42" spans="3:3">
      <c r="C42" s="151"/>
    </row>
    <row r="43" spans="3:3">
      <c r="C43" s="151"/>
    </row>
    <row r="44" spans="3:3">
      <c r="C44" s="151"/>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opyCurrentFileAndRename">
                <anchor moveWithCells="1" sizeWithCells="1">
                  <from>
                    <xdr:col>0</xdr:col>
                    <xdr:colOff>127000</xdr:colOff>
                    <xdr:row>18</xdr:row>
                    <xdr:rowOff>25400</xdr:rowOff>
                  </from>
                  <to>
                    <xdr:col>1</xdr:col>
                    <xdr:colOff>1092200</xdr:colOff>
                    <xdr:row>20</xdr:row>
                    <xdr:rowOff>50800</xdr:rowOff>
                  </to>
                </anchor>
              </controlPr>
            </control>
          </mc:Choice>
        </mc:AlternateContent>
        <mc:AlternateContent xmlns:mc="http://schemas.openxmlformats.org/markup-compatibility/2006">
          <mc:Choice Requires="x14">
            <control shapeId="1030" r:id="rId4" name="Button 6">
              <controlPr defaultSize="0" print="0" autoFill="0" autoPict="0" macro="[0]!ProcessMultipleCSVFiles">
                <anchor moveWithCells="1" sizeWithCells="1">
                  <from>
                    <xdr:col>0</xdr:col>
                    <xdr:colOff>177800</xdr:colOff>
                    <xdr:row>21</xdr:row>
                    <xdr:rowOff>101600</xdr:rowOff>
                  </from>
                  <to>
                    <xdr:col>1</xdr:col>
                    <xdr:colOff>1104900</xdr:colOff>
                    <xdr:row>23</xdr:row>
                    <xdr:rowOff>127000</xdr:rowOff>
                  </to>
                </anchor>
              </controlPr>
            </control>
          </mc:Choice>
        </mc:AlternateContent>
      </controls>
    </mc:Choice>
  </mc:AlternateContent>
  <tableParts count="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F36F-595F-4B42-BEC8-FE9D367A0D0C}">
  <sheetPr codeName="Sheet2"/>
  <dimension ref="A1:N1"/>
  <sheetViews>
    <sheetView workbookViewId="0">
      <selection activeCell="C22" sqref="C22"/>
    </sheetView>
  </sheetViews>
  <sheetFormatPr baseColWidth="10" defaultColWidth="10.83203125" defaultRowHeight="14"/>
  <cols>
    <col min="1" max="14" width="16.6640625" customWidth="1"/>
  </cols>
  <sheetData>
    <row r="1" spans="1:14">
      <c r="A1" t="s">
        <v>14</v>
      </c>
      <c r="B1" t="s">
        <v>15</v>
      </c>
      <c r="C1" t="s">
        <v>16</v>
      </c>
      <c r="D1" t="s">
        <v>17</v>
      </c>
      <c r="E1" t="s">
        <v>18</v>
      </c>
      <c r="F1" t="s">
        <v>19</v>
      </c>
      <c r="G1" t="s">
        <v>20</v>
      </c>
      <c r="H1" t="s">
        <v>21</v>
      </c>
      <c r="I1" t="s">
        <v>23</v>
      </c>
      <c r="J1" t="s">
        <v>22</v>
      </c>
      <c r="K1" t="s">
        <v>24</v>
      </c>
      <c r="L1" t="s">
        <v>25</v>
      </c>
      <c r="M1" t="s">
        <v>26</v>
      </c>
      <c r="N1" t="s">
        <v>27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607A6-6725-4F0F-8186-9C49F4BD58D7}">
  <sheetPr codeName="Sheet3"/>
  <dimension ref="A1"/>
  <sheetViews>
    <sheetView workbookViewId="0">
      <selection activeCell="E42" sqref="E42"/>
    </sheetView>
  </sheetViews>
  <sheetFormatPr baseColWidth="10" defaultColWidth="8.83203125" defaultRowHeight="14"/>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769BF-9EE8-453E-A796-C19E4317324D}">
  <sheetPr codeName="Sheet4">
    <tabColor theme="5" tint="0.59999389629810485"/>
    <pageSetUpPr fitToPage="1"/>
  </sheetPr>
  <dimension ref="A1:L101"/>
  <sheetViews>
    <sheetView showGridLines="0" zoomScaleNormal="100" zoomScaleSheetLayoutView="74" workbookViewId="0">
      <selection activeCell="N17" sqref="N17"/>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YEAR(設定!$E$1-11*30)&amp;"年3月調剤分"</f>
        <v>2023年3月調剤分</v>
      </c>
      <c r="H2" s="169"/>
      <c r="I2" s="138" t="s">
        <v>29</v>
      </c>
      <c r="J2" s="139" t="str">
        <f>設定!B2</f>
        <v>神居３条店</v>
      </c>
    </row>
    <row r="3" spans="2:10" ht="10" customHeight="1" thickBot="1">
      <c r="E3" s="5"/>
      <c r="F3" s="6"/>
      <c r="G3" s="6"/>
      <c r="J3" s="6"/>
    </row>
    <row r="4" spans="2:10" ht="25" customHeight="1" thickBot="1">
      <c r="B4" s="170" t="s">
        <v>30</v>
      </c>
      <c r="C4" s="171"/>
      <c r="D4" s="7">
        <f>設定!$B$5</f>
        <v>10099748</v>
      </c>
      <c r="G4" s="172" t="s">
        <v>31</v>
      </c>
      <c r="H4" s="173"/>
      <c r="I4" s="174"/>
      <c r="J4" s="8">
        <f ca="1">E19-J19</f>
        <v>-14711</v>
      </c>
    </row>
    <row r="5" spans="2:10" ht="10" customHeight="1"/>
    <row r="6" spans="2:10" s="10" customFormat="1" ht="25" customHeight="1">
      <c r="B6" s="175"/>
      <c r="C6" s="175"/>
      <c r="D6" s="9" t="s">
        <v>32</v>
      </c>
      <c r="E6" s="9" t="s">
        <v>33</v>
      </c>
      <c r="G6" s="176" t="s">
        <v>34</v>
      </c>
      <c r="H6" s="177"/>
      <c r="I6" s="178"/>
      <c r="J6" s="11">
        <f>D17-D4</f>
        <v>-3464</v>
      </c>
    </row>
    <row r="7" spans="2:10" ht="25" customHeight="1">
      <c r="B7" s="179" t="s">
        <v>35</v>
      </c>
      <c r="C7" s="179"/>
      <c r="D7" s="12">
        <f>設定!$E$5</f>
        <v>9168780</v>
      </c>
      <c r="E7" s="136">
        <f>設定!$E$19</f>
        <v>9163768</v>
      </c>
      <c r="G7" s="180" t="s">
        <v>36</v>
      </c>
      <c r="H7" s="183" t="s">
        <v>37</v>
      </c>
      <c r="I7" s="183"/>
      <c r="J7" s="14"/>
    </row>
    <row r="8" spans="2:10" ht="25" customHeight="1">
      <c r="B8" s="179" t="s">
        <v>5</v>
      </c>
      <c r="C8" s="179"/>
      <c r="D8" s="12">
        <f>設定!$F$5</f>
        <v>927504</v>
      </c>
      <c r="E8" s="184">
        <f>設定!$F$19</f>
        <v>917805</v>
      </c>
      <c r="G8" s="181"/>
      <c r="H8" s="183" t="s">
        <v>38</v>
      </c>
      <c r="I8" s="183"/>
      <c r="J8" s="14"/>
    </row>
    <row r="9" spans="2:10" ht="25" customHeight="1">
      <c r="B9" s="185" t="s">
        <v>39</v>
      </c>
      <c r="C9" s="186"/>
      <c r="D9" s="12">
        <f>設定!$G$5</f>
        <v>0</v>
      </c>
      <c r="E9" s="184"/>
      <c r="G9" s="181"/>
      <c r="H9" s="187" t="s">
        <v>40</v>
      </c>
      <c r="I9" s="187"/>
      <c r="J9" s="15">
        <v>0</v>
      </c>
    </row>
    <row r="10" spans="2:10" ht="25" customHeight="1">
      <c r="B10" s="179" t="s">
        <v>7</v>
      </c>
      <c r="C10" s="179"/>
      <c r="D10" s="12">
        <f>設定!$H$5</f>
        <v>0</v>
      </c>
      <c r="E10" s="136">
        <f>設定!$H$19</f>
        <v>0</v>
      </c>
      <c r="G10" s="181"/>
      <c r="H10" s="187" t="s">
        <v>41</v>
      </c>
      <c r="I10" s="187"/>
      <c r="J10" s="15"/>
    </row>
    <row r="11" spans="2:10" ht="25" customHeight="1">
      <c r="B11" s="179" t="s">
        <v>8</v>
      </c>
      <c r="C11" s="179"/>
      <c r="D11" s="12">
        <f>設定!$I$5</f>
        <v>0</v>
      </c>
      <c r="E11" s="136">
        <f>設定!$I$19</f>
        <v>0</v>
      </c>
      <c r="G11" s="182"/>
      <c r="H11" s="188" t="s">
        <v>42</v>
      </c>
      <c r="I11" s="188"/>
      <c r="J11" s="16">
        <f>J6-SUM(J7:J10)</f>
        <v>-3464</v>
      </c>
    </row>
    <row r="12" spans="2:10" ht="25" customHeight="1">
      <c r="B12" s="179" t="s">
        <v>9</v>
      </c>
      <c r="C12" s="179"/>
      <c r="D12" s="12">
        <f>設定!$J$5</f>
        <v>0</v>
      </c>
      <c r="E12" s="136">
        <f>設定!$J$19</f>
        <v>0</v>
      </c>
      <c r="G12" s="189" t="s">
        <v>43</v>
      </c>
      <c r="H12" s="192" t="s">
        <v>44</v>
      </c>
      <c r="I12" s="192"/>
      <c r="J12" s="17">
        <f>③!L47*(-1)</f>
        <v>0</v>
      </c>
    </row>
    <row r="13" spans="2:10" ht="25" customHeight="1">
      <c r="B13" s="179" t="s">
        <v>45</v>
      </c>
      <c r="C13" s="179"/>
      <c r="D13" s="12">
        <f>設定!$K$5</f>
        <v>0</v>
      </c>
      <c r="E13" s="137">
        <f>設定!$K$19</f>
        <v>0</v>
      </c>
      <c r="G13" s="190"/>
      <c r="H13" s="193" t="s">
        <v>46</v>
      </c>
      <c r="I13" s="193"/>
      <c r="J13" s="19">
        <f>③!L54*(-1)</f>
        <v>0</v>
      </c>
    </row>
    <row r="14" spans="2:10" ht="25" customHeight="1">
      <c r="B14" s="194" t="s">
        <v>47</v>
      </c>
      <c r="C14" s="194"/>
      <c r="D14" s="12">
        <f>設定!$L$5</f>
        <v>0</v>
      </c>
      <c r="E14" s="136">
        <f>設定!$L$19</f>
        <v>0</v>
      </c>
      <c r="G14" s="190"/>
      <c r="H14" s="195" t="s">
        <v>48</v>
      </c>
      <c r="I14" s="195"/>
      <c r="J14" s="21">
        <f>③!L61*(-1)</f>
        <v>0</v>
      </c>
    </row>
    <row r="15" spans="2:10" ht="25" customHeight="1">
      <c r="B15" s="196" t="s">
        <v>49</v>
      </c>
      <c r="C15" s="196"/>
      <c r="D15" s="22">
        <f>③!K29</f>
        <v>0</v>
      </c>
      <c r="E15" s="205" t="s">
        <v>50</v>
      </c>
      <c r="G15" s="190"/>
      <c r="H15" s="207" t="s">
        <v>51</v>
      </c>
      <c r="I15" s="207"/>
      <c r="J15" s="24">
        <f>③!L68*(-1)</f>
        <v>0</v>
      </c>
    </row>
    <row r="16" spans="2:10" ht="25" customHeight="1">
      <c r="B16" s="208" t="s">
        <v>52</v>
      </c>
      <c r="C16" s="208"/>
      <c r="D16" s="25">
        <f>③!L40</f>
        <v>0</v>
      </c>
      <c r="E16" s="206"/>
      <c r="G16" s="190"/>
      <c r="H16" s="209" t="s">
        <v>53</v>
      </c>
      <c r="I16" s="209"/>
      <c r="J16" s="26">
        <f>③!L75*(-1)</f>
        <v>0</v>
      </c>
    </row>
    <row r="17" spans="2:10" ht="25" customHeight="1">
      <c r="B17" s="210" t="s">
        <v>54</v>
      </c>
      <c r="C17" s="210"/>
      <c r="D17" s="27">
        <f>SUM(D7:D14)-D15+D16</f>
        <v>10096284</v>
      </c>
      <c r="E17" s="28"/>
      <c r="G17" s="191"/>
      <c r="H17" s="211" t="s">
        <v>55</v>
      </c>
      <c r="I17" s="211"/>
      <c r="J17" s="29">
        <f>③!L78*(-1)</f>
        <v>0</v>
      </c>
    </row>
    <row r="18" spans="2:10" ht="25" customHeight="1" thickBot="1">
      <c r="B18" s="197" t="s">
        <v>56</v>
      </c>
      <c r="C18" s="197"/>
      <c r="D18" s="30">
        <f ca="1">③!K18</f>
        <v>0</v>
      </c>
      <c r="E18" s="23" t="s">
        <v>57</v>
      </c>
      <c r="G18" s="198" t="s">
        <v>58</v>
      </c>
      <c r="H18" s="199"/>
      <c r="I18" s="200"/>
      <c r="J18" s="31"/>
    </row>
    <row r="19" spans="2:10" ht="25" customHeight="1" thickBot="1">
      <c r="B19" s="201" t="s">
        <v>59</v>
      </c>
      <c r="C19" s="202"/>
      <c r="D19" s="32">
        <f ca="1">SUM(D7:D14)+D18</f>
        <v>10096284</v>
      </c>
      <c r="E19" s="33">
        <f>SUM(E7:E15)</f>
        <v>10081573</v>
      </c>
      <c r="G19" s="203" t="s">
        <v>60</v>
      </c>
      <c r="H19" s="204"/>
      <c r="I19" s="204"/>
      <c r="J19" s="34">
        <f ca="1">D19+SUM(J12:J18)</f>
        <v>10096284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6912DB20-A83B-4828-B1FA-76DF09F5DA4B}"/>
    <dataValidation imeMode="hiragana" allowBlank="1" showInputMessage="1" showErrorMessage="1" sqref="D6:E6 D4:D5 H12:H15 J2:M2 E5:O5 G6:G7 G12 I3:O3 J6:J11 E4:G4 J4:N4 F6:F20 K6:M20 B24:E65523 H20:H65521 C5:C21 B3:B22 A1:A1048576 G22:G65521 F23:F65522 G18:G19 I20:J1048576 K21:O1048576 J18:J19" xr:uid="{DDC1F500-5E9D-4577-AB87-7D3E7A285010}"/>
  </dataValidations>
  <pageMargins left="0.7" right="0.7" top="0.75" bottom="0.75" header="0.3" footer="0.3"/>
  <pageSetup paperSize="9" scale="60"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A018-4C56-4324-8D68-7F0ABD673CDF}">
  <sheetPr codeName="Sheet5">
    <pageSetUpPr fitToPage="1"/>
  </sheetPr>
  <dimension ref="A1:P127"/>
  <sheetViews>
    <sheetView showGridLines="0" view="pageBreakPreview" zoomScaleNormal="100" zoomScaleSheetLayoutView="100" workbookViewId="0">
      <pane ySplit="5" topLeftCell="A6" activePane="bottomLeft" state="frozen"/>
      <selection activeCell="J9" sqref="J9"/>
      <selection pane="bottomLeft" activeCell="J9" sqref="J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'R6.3'!G2</f>
        <v>2023年3月調剤分</v>
      </c>
      <c r="I1" s="216"/>
      <c r="J1" s="215" t="str">
        <f>'R6.3'!I2</f>
        <v>4月10日請求分</v>
      </c>
      <c r="K1" s="216"/>
      <c r="L1" s="217" t="str">
        <f>'R6.3'!J2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v>0</v>
      </c>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23" priority="1">
      <formula>LEN(TRIM(K8))=0</formula>
    </cfRule>
  </conditionalFormatting>
  <conditionalFormatting sqref="L30:L78">
    <cfRule type="containsBlanks" dxfId="22" priority="2">
      <formula>LEN(TRIM(L30))=0</formula>
    </cfRule>
  </conditionalFormatting>
  <dataValidations count="4">
    <dataValidation type="list" allowBlank="1" sqref="G30:G33 G62:G67 G41:G46 G48:G53 G55:G60 G35:G38 G8:G11 G13:G16 G69:G74 G24:G27 G19:G22" xr:uid="{429E8A24-6935-46B2-A5EC-30CA37B137B2}">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5A07EEC-D95C-468A-80AE-80612C2C35F2}"/>
    <dataValidation imeMode="off" allowBlank="1" showInputMessage="1" showErrorMessage="1" sqref="L80 C41:C78 C6:C17 C30:C39 C19:C28 J6:J78 E6:E78" xr:uid="{E201E310-5DAF-454B-A567-0BA094436D5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CACFE87-56DE-4F21-B04B-02AEDE4EAA5D}"/>
  </dataValidations>
  <pageMargins left="0.7" right="0.7" top="0.75" bottom="0.75" header="0.3" footer="0.3"/>
  <pageSetup paperSize="9" scale="4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CCD20-69F7-4C36-A2A0-367926D88A21}">
  <sheetPr codeName="Sheet6">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YEAR(設定!$E$1-10*30)&amp;"年4月調剤分"</f>
        <v>2023年4月調剤分</v>
      </c>
      <c r="H2" s="169"/>
      <c r="I2" s="138" t="s">
        <v>118</v>
      </c>
      <c r="J2" s="139" t="str">
        <f>設定!$B$2</f>
        <v>神居３条店</v>
      </c>
    </row>
    <row r="3" spans="2:10" ht="10" customHeight="1" thickBot="1">
      <c r="E3" s="5"/>
      <c r="F3" s="6"/>
      <c r="G3" s="6"/>
      <c r="J3" s="6"/>
    </row>
    <row r="4" spans="2:10" ht="25" customHeight="1" thickBot="1">
      <c r="B4" s="170" t="s">
        <v>30</v>
      </c>
      <c r="C4" s="171"/>
      <c r="D4" s="7">
        <f>設定!$B$6</f>
        <v>6216377</v>
      </c>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5894</v>
      </c>
    </row>
    <row r="7" spans="2:10" ht="25" customHeight="1">
      <c r="B7" s="179" t="s">
        <v>35</v>
      </c>
      <c r="C7" s="179"/>
      <c r="D7" s="12">
        <f>設定!$E$6</f>
        <v>1388259</v>
      </c>
      <c r="E7" s="136">
        <f>設定!$E$20</f>
        <v>1388259</v>
      </c>
      <c r="G7" s="180" t="s">
        <v>36</v>
      </c>
      <c r="H7" s="183" t="s">
        <v>37</v>
      </c>
      <c r="I7" s="183"/>
      <c r="J7" s="14"/>
    </row>
    <row r="8" spans="2:10" ht="25" customHeight="1">
      <c r="B8" s="179" t="s">
        <v>5</v>
      </c>
      <c r="C8" s="179"/>
      <c r="D8" s="12">
        <f>設定!$F$6</f>
        <v>4834012</v>
      </c>
      <c r="E8" s="184">
        <f>設定!$F$20</f>
        <v>4834012</v>
      </c>
      <c r="G8" s="181"/>
      <c r="H8" s="183" t="s">
        <v>38</v>
      </c>
      <c r="I8" s="183"/>
      <c r="J8" s="14"/>
    </row>
    <row r="9" spans="2:10" ht="25" customHeight="1">
      <c r="B9" s="185" t="s">
        <v>39</v>
      </c>
      <c r="C9" s="186"/>
      <c r="D9" s="12">
        <f>設定!$G$6</f>
        <v>0</v>
      </c>
      <c r="E9" s="184"/>
      <c r="G9" s="181"/>
      <c r="H9" s="187" t="s">
        <v>40</v>
      </c>
      <c r="I9" s="187"/>
      <c r="J9" s="15">
        <v>0</v>
      </c>
    </row>
    <row r="10" spans="2:10" ht="25" customHeight="1">
      <c r="B10" s="179" t="s">
        <v>7</v>
      </c>
      <c r="C10" s="179"/>
      <c r="D10" s="12">
        <f>設定!$H$6</f>
        <v>0</v>
      </c>
      <c r="E10" s="136">
        <f>設定!$H$20</f>
        <v>0</v>
      </c>
      <c r="G10" s="181"/>
      <c r="H10" s="187" t="s">
        <v>41</v>
      </c>
      <c r="I10" s="187"/>
      <c r="J10" s="15"/>
    </row>
    <row r="11" spans="2:10" ht="25" customHeight="1">
      <c r="B11" s="179" t="s">
        <v>8</v>
      </c>
      <c r="C11" s="179"/>
      <c r="D11" s="12">
        <f>設定!$I$6</f>
        <v>0</v>
      </c>
      <c r="E11" s="136">
        <f>設定!$I$20</f>
        <v>0</v>
      </c>
      <c r="G11" s="182"/>
      <c r="H11" s="188" t="s">
        <v>42</v>
      </c>
      <c r="I11" s="188"/>
      <c r="J11" s="16">
        <f>J6-SUM(J7:J10)</f>
        <v>5894</v>
      </c>
    </row>
    <row r="12" spans="2:10" ht="25" customHeight="1">
      <c r="B12" s="179" t="s">
        <v>9</v>
      </c>
      <c r="C12" s="179"/>
      <c r="D12" s="12">
        <f>設定!$J$6</f>
        <v>0</v>
      </c>
      <c r="E12" s="136">
        <f>設定!$J$20</f>
        <v>0</v>
      </c>
      <c r="G12" s="189" t="s">
        <v>43</v>
      </c>
      <c r="H12" s="192" t="s">
        <v>44</v>
      </c>
      <c r="I12" s="192"/>
      <c r="J12" s="17">
        <f>④!L47*(-1)</f>
        <v>0</v>
      </c>
    </row>
    <row r="13" spans="2:10" ht="25" customHeight="1">
      <c r="B13" s="179" t="s">
        <v>45</v>
      </c>
      <c r="C13" s="179"/>
      <c r="D13" s="12">
        <f>設定!$K$6</f>
        <v>0</v>
      </c>
      <c r="E13" s="137">
        <f>設定!$K$20</f>
        <v>0</v>
      </c>
      <c r="G13" s="190"/>
      <c r="H13" s="193" t="s">
        <v>46</v>
      </c>
      <c r="I13" s="193"/>
      <c r="J13" s="19">
        <f>④!L54*(-1)</f>
        <v>0</v>
      </c>
    </row>
    <row r="14" spans="2:10" ht="25" customHeight="1">
      <c r="B14" s="194" t="s">
        <v>47</v>
      </c>
      <c r="C14" s="194"/>
      <c r="D14" s="12">
        <f>設定!$L$6</f>
        <v>0</v>
      </c>
      <c r="E14" s="136">
        <f>設定!$L$20</f>
        <v>0</v>
      </c>
      <c r="G14" s="190"/>
      <c r="H14" s="195" t="s">
        <v>48</v>
      </c>
      <c r="I14" s="195"/>
      <c r="J14" s="21">
        <f>④!L61*(-1)</f>
        <v>0</v>
      </c>
    </row>
    <row r="15" spans="2:10" ht="25" customHeight="1">
      <c r="B15" s="196" t="s">
        <v>49</v>
      </c>
      <c r="C15" s="196"/>
      <c r="D15" s="22">
        <f>④!K29</f>
        <v>0</v>
      </c>
      <c r="E15" s="205" t="s">
        <v>50</v>
      </c>
      <c r="G15" s="190"/>
      <c r="H15" s="207" t="s">
        <v>51</v>
      </c>
      <c r="I15" s="207"/>
      <c r="J15" s="24">
        <f>④!L68*(-1)</f>
        <v>0</v>
      </c>
    </row>
    <row r="16" spans="2:10" ht="25" customHeight="1">
      <c r="B16" s="208" t="s">
        <v>52</v>
      </c>
      <c r="C16" s="208"/>
      <c r="D16" s="25">
        <f>④!L40</f>
        <v>0</v>
      </c>
      <c r="E16" s="206"/>
      <c r="G16" s="190"/>
      <c r="H16" s="209" t="s">
        <v>53</v>
      </c>
      <c r="I16" s="209"/>
      <c r="J16" s="26">
        <f>④!L75*(-1)</f>
        <v>0</v>
      </c>
    </row>
    <row r="17" spans="2:10" ht="25" customHeight="1">
      <c r="B17" s="210" t="s">
        <v>54</v>
      </c>
      <c r="C17" s="210"/>
      <c r="D17" s="27">
        <f>SUM(D7:D14)-D15+D16</f>
        <v>6222271</v>
      </c>
      <c r="E17" s="28"/>
      <c r="G17" s="191"/>
      <c r="H17" s="211" t="s">
        <v>55</v>
      </c>
      <c r="I17" s="211"/>
      <c r="J17" s="29">
        <f>④!L78*(-1)</f>
        <v>0</v>
      </c>
    </row>
    <row r="18" spans="2:10" ht="25" customHeight="1" thickBot="1">
      <c r="B18" s="197" t="s">
        <v>56</v>
      </c>
      <c r="C18" s="197"/>
      <c r="D18" s="30">
        <f ca="1">④!K18</f>
        <v>0</v>
      </c>
      <c r="E18" s="23" t="s">
        <v>57</v>
      </c>
      <c r="G18" s="198" t="s">
        <v>58</v>
      </c>
      <c r="H18" s="199"/>
      <c r="I18" s="200"/>
      <c r="J18" s="31"/>
    </row>
    <row r="19" spans="2:10" ht="25" customHeight="1" thickBot="1">
      <c r="B19" s="201" t="s">
        <v>59</v>
      </c>
      <c r="C19" s="202"/>
      <c r="D19" s="32">
        <f ca="1">SUM(D7:D14)+D18</f>
        <v>6222271</v>
      </c>
      <c r="E19" s="33">
        <f>SUM(E7:E15)</f>
        <v>6222271</v>
      </c>
      <c r="G19" s="203" t="s">
        <v>60</v>
      </c>
      <c r="H19" s="204"/>
      <c r="I19" s="204"/>
      <c r="J19" s="34">
        <f ca="1">D19+SUM(J12:J18)</f>
        <v>6222271</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050BABF6-7009-4CD1-9557-04665742C9A2}"/>
    <dataValidation imeMode="off" allowBlank="1" showInputMessage="1" showErrorMessage="1" sqref="E7:E8 D18:E21 D7:D17 E10:E15" xr:uid="{53D40BA3-50EC-4FD2-A70E-41157895D8D7}"/>
  </dataValidations>
  <pageMargins left="0.7" right="0.7" top="0.75" bottom="0.75" header="0.3" footer="0.3"/>
  <pageSetup paperSize="9" scale="60"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EBC7C-EDDA-421E-AA3B-F75DCBEE036E}">
  <sheetPr codeName="Sheet7">
    <pageSetUpPr fitToPage="1"/>
  </sheetPr>
  <dimension ref="A1:P127"/>
  <sheetViews>
    <sheetView showGridLines="0" view="pageBreakPreview" zoomScaleNormal="100" zoomScaleSheetLayoutView="100" workbookViewId="0">
      <pane ySplit="5" topLeftCell="A6" activePane="bottomLeft" state="frozen"/>
      <selection activeCell="I32" sqref="I32"/>
      <selection pane="bottomLeft" activeCell="J14" sqref="J14"/>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'R6.4'!G2</f>
        <v>2023年4月調剤分</v>
      </c>
      <c r="I1" s="216"/>
      <c r="J1" s="215" t="str">
        <f>'R6.4'!I2</f>
        <v>5月10日請求分</v>
      </c>
      <c r="K1" s="216"/>
      <c r="L1" s="217" t="str">
        <f>'R6.4'!J2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v>0</v>
      </c>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21" priority="1">
      <formula>LEN(TRIM(K8))=0</formula>
    </cfRule>
  </conditionalFormatting>
  <conditionalFormatting sqref="L30:L78">
    <cfRule type="containsBlanks" dxfId="20"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C43E02F-4B88-4215-909A-6732B4CC7841}"/>
    <dataValidation imeMode="off" allowBlank="1" showInputMessage="1" showErrorMessage="1" sqref="L80 C41:C78 C6:C17 C30:C39 C19:C28 J6:J78 E6:E78" xr:uid="{7A4DB8B2-AC70-45C5-9C9E-382988C281BD}"/>
    <dataValidation errorStyle="information" imeMode="off" allowBlank="1" showErrorMessage="1" errorTitle="請求割合エラー" error="請求割合は1~10割です。_x000a_1~10の整数で入力して下さい。" sqref="I30:I33 I35:I38 I41:I46 I48:I53 I55:I60 I62:I67 I6:I11 I13:I16 I69:I74 I24:I27 I19:I22" xr:uid="{96146329-9828-4C94-AA0C-5AAE7CA5113A}"/>
    <dataValidation type="list" allowBlank="1" sqref="G30:G33 G62:G67 G41:G46 G48:G53 G55:G60 G35:G38 G8:G11 G13:G16 G69:G74 G24:G27 G19:G22" xr:uid="{E80AD55A-42E5-4946-A6B0-887FA0727B07}">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B06E0-7B61-4D41-A6BF-259F76E4451E}">
  <sheetPr codeName="Sheet8">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YEAR(設定!$E$1-9*30)&amp;"年5月調剤分"</f>
        <v>2023年5月調剤分</v>
      </c>
      <c r="H2" s="169"/>
      <c r="I2" s="138" t="s">
        <v>119</v>
      </c>
      <c r="J2" s="139" t="str">
        <f>設定!$B$2</f>
        <v>神居３条店</v>
      </c>
    </row>
    <row r="3" spans="2:10" ht="10" customHeight="1" thickBot="1">
      <c r="E3" s="5"/>
      <c r="F3" s="6"/>
      <c r="G3" s="6"/>
      <c r="J3" s="6"/>
    </row>
    <row r="4" spans="2:10" ht="25" customHeight="1" thickBot="1">
      <c r="B4" s="170" t="s">
        <v>30</v>
      </c>
      <c r="C4" s="171"/>
      <c r="D4" s="7">
        <f>設定!$B$7</f>
        <v>3270439</v>
      </c>
      <c r="G4" s="172" t="s">
        <v>31</v>
      </c>
      <c r="H4" s="173"/>
      <c r="I4" s="174"/>
      <c r="J4" s="8">
        <f ca="1">E19-J19</f>
        <v>-1295</v>
      </c>
    </row>
    <row r="5" spans="2:10" ht="10" customHeight="1"/>
    <row r="6" spans="2:10" s="10" customFormat="1" ht="25" customHeight="1">
      <c r="B6" s="175"/>
      <c r="C6" s="175"/>
      <c r="D6" s="9" t="s">
        <v>32</v>
      </c>
      <c r="E6" s="9" t="s">
        <v>33</v>
      </c>
      <c r="G6" s="176" t="s">
        <v>34</v>
      </c>
      <c r="H6" s="177"/>
      <c r="I6" s="178"/>
      <c r="J6" s="11">
        <f>D17-D4</f>
        <v>-8515</v>
      </c>
    </row>
    <row r="7" spans="2:10" ht="25" customHeight="1">
      <c r="B7" s="179" t="s">
        <v>35</v>
      </c>
      <c r="C7" s="179"/>
      <c r="D7" s="12">
        <f>設定!$E$7</f>
        <v>1728317</v>
      </c>
      <c r="E7" s="136">
        <f>設定!$E$21</f>
        <v>1728317</v>
      </c>
      <c r="G7" s="180" t="s">
        <v>36</v>
      </c>
      <c r="H7" s="183" t="s">
        <v>37</v>
      </c>
      <c r="I7" s="183"/>
      <c r="J7" s="14"/>
    </row>
    <row r="8" spans="2:10" ht="25" customHeight="1">
      <c r="B8" s="179" t="s">
        <v>5</v>
      </c>
      <c r="C8" s="179"/>
      <c r="D8" s="12">
        <f>設定!$F$7</f>
        <v>1533607</v>
      </c>
      <c r="E8" s="184">
        <f>設定!$F$21</f>
        <v>1532312</v>
      </c>
      <c r="G8" s="181"/>
      <c r="H8" s="183" t="s">
        <v>38</v>
      </c>
      <c r="I8" s="183"/>
      <c r="J8" s="14"/>
    </row>
    <row r="9" spans="2:10" ht="25" customHeight="1">
      <c r="B9" s="185" t="s">
        <v>39</v>
      </c>
      <c r="C9" s="186"/>
      <c r="D9" s="12">
        <f>設定!$G$7</f>
        <v>0</v>
      </c>
      <c r="E9" s="184"/>
      <c r="G9" s="181"/>
      <c r="H9" s="187" t="s">
        <v>40</v>
      </c>
      <c r="I9" s="187"/>
      <c r="J9" s="15"/>
    </row>
    <row r="10" spans="2:10" ht="25" customHeight="1">
      <c r="B10" s="179" t="s">
        <v>7</v>
      </c>
      <c r="C10" s="179"/>
      <c r="D10" s="12">
        <f>設定!$H$7</f>
        <v>0</v>
      </c>
      <c r="E10" s="136">
        <f>設定!$H$21</f>
        <v>0</v>
      </c>
      <c r="G10" s="181"/>
      <c r="H10" s="187" t="s">
        <v>41</v>
      </c>
      <c r="I10" s="187"/>
      <c r="J10" s="15"/>
    </row>
    <row r="11" spans="2:10" ht="25" customHeight="1">
      <c r="B11" s="179" t="s">
        <v>8</v>
      </c>
      <c r="C11" s="179"/>
      <c r="D11" s="12">
        <f>設定!$I$7</f>
        <v>0</v>
      </c>
      <c r="E11" s="136">
        <f>設定!$I$21</f>
        <v>0</v>
      </c>
      <c r="G11" s="182"/>
      <c r="H11" s="188" t="s">
        <v>42</v>
      </c>
      <c r="I11" s="188"/>
      <c r="J11" s="16">
        <f>J6-SUM(J7:J10)</f>
        <v>-8515</v>
      </c>
    </row>
    <row r="12" spans="2:10" ht="25" customHeight="1">
      <c r="B12" s="179" t="s">
        <v>9</v>
      </c>
      <c r="C12" s="179"/>
      <c r="D12" s="12">
        <f>設定!$J$7</f>
        <v>0</v>
      </c>
      <c r="E12" s="136">
        <f>設定!$J$21</f>
        <v>0</v>
      </c>
      <c r="G12" s="189" t="s">
        <v>43</v>
      </c>
      <c r="H12" s="192" t="s">
        <v>44</v>
      </c>
      <c r="I12" s="192"/>
      <c r="J12" s="17">
        <f>⑤!L47*(-1)</f>
        <v>0</v>
      </c>
    </row>
    <row r="13" spans="2:10" ht="25" customHeight="1">
      <c r="B13" s="179" t="s">
        <v>45</v>
      </c>
      <c r="C13" s="179"/>
      <c r="D13" s="12">
        <f>設定!$K$7</f>
        <v>0</v>
      </c>
      <c r="E13" s="137">
        <f>設定!$K$21</f>
        <v>0</v>
      </c>
      <c r="G13" s="190"/>
      <c r="H13" s="193" t="s">
        <v>46</v>
      </c>
      <c r="I13" s="193"/>
      <c r="J13" s="19"/>
    </row>
    <row r="14" spans="2:10" ht="25" customHeight="1">
      <c r="B14" s="194" t="s">
        <v>47</v>
      </c>
      <c r="C14" s="194"/>
      <c r="D14" s="12">
        <f>設定!$L$7</f>
        <v>0</v>
      </c>
      <c r="E14" s="136">
        <f>設定!$L$21</f>
        <v>0</v>
      </c>
      <c r="G14" s="190"/>
      <c r="H14" s="195" t="s">
        <v>48</v>
      </c>
      <c r="I14" s="195"/>
      <c r="J14" s="21">
        <f>⑤!L61*(-1)</f>
        <v>0</v>
      </c>
    </row>
    <row r="15" spans="2:10" ht="25" customHeight="1">
      <c r="B15" s="196" t="s">
        <v>49</v>
      </c>
      <c r="C15" s="196"/>
      <c r="D15" s="22">
        <f>⑤!K29</f>
        <v>0</v>
      </c>
      <c r="E15" s="205" t="s">
        <v>50</v>
      </c>
      <c r="G15" s="190"/>
      <c r="H15" s="207" t="s">
        <v>51</v>
      </c>
      <c r="I15" s="207"/>
      <c r="J15" s="24">
        <f>⑤!L68*(-1)</f>
        <v>0</v>
      </c>
    </row>
    <row r="16" spans="2:10" ht="25" customHeight="1">
      <c r="B16" s="208" t="s">
        <v>52</v>
      </c>
      <c r="C16" s="208"/>
      <c r="D16" s="25">
        <f>⑤!L40</f>
        <v>0</v>
      </c>
      <c r="E16" s="206"/>
      <c r="G16" s="190"/>
      <c r="H16" s="209" t="s">
        <v>53</v>
      </c>
      <c r="I16" s="209"/>
      <c r="J16" s="26">
        <f>⑤!L75*(-1)</f>
        <v>0</v>
      </c>
    </row>
    <row r="17" spans="2:10" ht="25" customHeight="1">
      <c r="B17" s="210" t="s">
        <v>54</v>
      </c>
      <c r="C17" s="210"/>
      <c r="D17" s="27">
        <f>SUM(D7:D14)-D15+D16</f>
        <v>3261924</v>
      </c>
      <c r="E17" s="28"/>
      <c r="G17" s="191"/>
      <c r="H17" s="211" t="s">
        <v>55</v>
      </c>
      <c r="I17" s="211"/>
      <c r="J17" s="29">
        <f>⑤!L78*(-1)</f>
        <v>0</v>
      </c>
    </row>
    <row r="18" spans="2:10" ht="25" customHeight="1" thickBot="1">
      <c r="B18" s="197" t="s">
        <v>56</v>
      </c>
      <c r="C18" s="197"/>
      <c r="D18" s="30">
        <f ca="1">⑤!K18</f>
        <v>0</v>
      </c>
      <c r="E18" s="23" t="s">
        <v>57</v>
      </c>
      <c r="G18" s="198" t="s">
        <v>58</v>
      </c>
      <c r="H18" s="199"/>
      <c r="I18" s="200"/>
      <c r="J18" s="31"/>
    </row>
    <row r="19" spans="2:10" ht="25" customHeight="1" thickBot="1">
      <c r="B19" s="201" t="s">
        <v>59</v>
      </c>
      <c r="C19" s="202"/>
      <c r="D19" s="32">
        <f ca="1">SUM(D7:D14)+D18</f>
        <v>3261924</v>
      </c>
      <c r="E19" s="33">
        <f>SUM(E7:E15)</f>
        <v>3260629</v>
      </c>
      <c r="G19" s="203" t="s">
        <v>60</v>
      </c>
      <c r="H19" s="204"/>
      <c r="I19" s="204"/>
      <c r="J19" s="34">
        <f ca="1">D19+SUM(J12:J18)</f>
        <v>3261924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A0367DFE-C01D-4530-B427-A9EB5620CA21}"/>
    <dataValidation imeMode="hiragana" allowBlank="1" showInputMessage="1" showErrorMessage="1" sqref="D6:E6 D4:D5 H12:H15 J2:M2 E5:O5 G6:G7 G12 I3:O3 J6:J11 E4:G4 J4:N4 F6:F20 K6:M20 B24:E65523 H20:H65521 C5:C21 B3:B22 A1:A1048576 G22:G65521 F23:F65522 G18:G19 I20:J1048576 K21:O1048576 J18:J19" xr:uid="{5247BAC7-4F69-4154-A48A-9B2EEF364E3A}"/>
  </dataValidations>
  <pageMargins left="0.7" right="0.7" top="0.75" bottom="0.75" header="0.3" footer="0.3"/>
  <pageSetup paperSize="9" scale="6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604A7-5929-489B-B1BB-EDF033891F02}">
  <sheetPr codeName="Sheet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'R6.5'!G2</f>
        <v>2023年5月調剤分</v>
      </c>
      <c r="I1" s="216"/>
      <c r="J1" s="215" t="str">
        <f>'R6.5'!I2</f>
        <v>6月10日請求分</v>
      </c>
      <c r="K1" s="216"/>
      <c r="L1" s="217" t="str">
        <f>'R6.5'!J2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9" priority="1">
      <formula>LEN(TRIM(K8))=0</formula>
    </cfRule>
  </conditionalFormatting>
  <conditionalFormatting sqref="L30:L78">
    <cfRule type="containsBlanks" dxfId="18" priority="2">
      <formula>LEN(TRIM(L30))=0</formula>
    </cfRule>
  </conditionalFormatting>
  <dataValidations count="4">
    <dataValidation type="list" allowBlank="1" sqref="G30:G33 G62:G67 G41:G46 G48:G53 G55:G60 G35:G38 G8:G11 G13:G16 G69:G74 G24:G27 G19:G22" xr:uid="{C79A173C-207A-4A12-9540-521DC20FF7D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F45BF69-0E2A-42C0-9830-7E8BF997BA17}"/>
    <dataValidation imeMode="off" allowBlank="1" showInputMessage="1" showErrorMessage="1" sqref="L80 C41:C78 C6:C17 C30:C39 C19:C28 J6:J78 E6:E78" xr:uid="{E78C1863-87C7-4D17-B24F-C37D12142D35}"/>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EF9C041-4312-44C7-BDB6-AF4F3B36DFC9}"/>
  </dataValidations>
  <pageMargins left="0.7" right="0.7" top="0.75" bottom="0.75" header="0.3" footer="0.3"/>
  <pageSetup paperSize="9" scale="4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F7378-0544-4380-801C-809FC229DA08}">
  <sheetPr codeName="Sheet10">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YEAR(設定!$E$1-8*30)&amp;"年6月調剤分"</f>
        <v>2023年6月調剤分</v>
      </c>
      <c r="H2" s="169"/>
      <c r="I2" s="138" t="s">
        <v>120</v>
      </c>
      <c r="J2" s="139" t="str">
        <f>設定!$B$2</f>
        <v>神居３条店</v>
      </c>
    </row>
    <row r="3" spans="2:10" ht="10" customHeight="1" thickBot="1">
      <c r="E3" s="5"/>
      <c r="F3" s="6"/>
      <c r="G3" s="6"/>
      <c r="J3" s="6"/>
    </row>
    <row r="4" spans="2:10" ht="25" customHeight="1" thickBot="1">
      <c r="B4" s="170" t="s">
        <v>30</v>
      </c>
      <c r="C4" s="171"/>
      <c r="D4" s="7">
        <f>設定!$B$8</f>
        <v>10261901</v>
      </c>
      <c r="G4" s="172" t="s">
        <v>31</v>
      </c>
      <c r="H4" s="173"/>
      <c r="I4" s="174"/>
      <c r="J4" s="8">
        <f ca="1">E19-J19</f>
        <v>-10269640</v>
      </c>
    </row>
    <row r="5" spans="2:10" ht="10" customHeight="1"/>
    <row r="6" spans="2:10" s="10" customFormat="1" ht="25" customHeight="1">
      <c r="B6" s="175"/>
      <c r="C6" s="175"/>
      <c r="D6" s="9" t="s">
        <v>32</v>
      </c>
      <c r="E6" s="9" t="s">
        <v>33</v>
      </c>
      <c r="G6" s="176" t="s">
        <v>34</v>
      </c>
      <c r="H6" s="177"/>
      <c r="I6" s="178"/>
      <c r="J6" s="11">
        <f>D17-D4</f>
        <v>7739</v>
      </c>
    </row>
    <row r="7" spans="2:10" ht="25" customHeight="1">
      <c r="B7" s="179" t="s">
        <v>35</v>
      </c>
      <c r="C7" s="179"/>
      <c r="D7" s="12">
        <f>設定!$E$8</f>
        <v>8032019</v>
      </c>
      <c r="E7" s="136">
        <f>設定!$E$22</f>
        <v>0</v>
      </c>
      <c r="G7" s="180" t="s">
        <v>36</v>
      </c>
      <c r="H7" s="183" t="s">
        <v>37</v>
      </c>
      <c r="I7" s="183"/>
      <c r="J7" s="14"/>
    </row>
    <row r="8" spans="2:10" ht="25" customHeight="1">
      <c r="B8" s="179" t="s">
        <v>5</v>
      </c>
      <c r="C8" s="179"/>
      <c r="D8" s="12">
        <f>設定!$F$8</f>
        <v>2237621</v>
      </c>
      <c r="E8" s="184">
        <f>設定!$F$22</f>
        <v>0</v>
      </c>
      <c r="G8" s="181"/>
      <c r="H8" s="183" t="s">
        <v>38</v>
      </c>
      <c r="I8" s="183"/>
      <c r="J8" s="14"/>
    </row>
    <row r="9" spans="2:10" ht="25" customHeight="1">
      <c r="B9" s="185" t="s">
        <v>39</v>
      </c>
      <c r="C9" s="186"/>
      <c r="D9" s="12">
        <f>設定!$G$8</f>
        <v>0</v>
      </c>
      <c r="E9" s="184">
        <f>設定!$G$8</f>
        <v>0</v>
      </c>
      <c r="G9" s="181"/>
      <c r="H9" s="187" t="s">
        <v>40</v>
      </c>
      <c r="I9" s="187"/>
      <c r="J9" s="15"/>
    </row>
    <row r="10" spans="2:10" ht="25" customHeight="1">
      <c r="B10" s="179" t="s">
        <v>7</v>
      </c>
      <c r="C10" s="179"/>
      <c r="D10" s="12">
        <f>設定!$H$8</f>
        <v>0</v>
      </c>
      <c r="E10" s="136">
        <f>設定!$H$22</f>
        <v>0</v>
      </c>
      <c r="G10" s="181"/>
      <c r="H10" s="187" t="s">
        <v>41</v>
      </c>
      <c r="I10" s="187"/>
      <c r="J10" s="15"/>
    </row>
    <row r="11" spans="2:10" ht="25" customHeight="1">
      <c r="B11" s="179" t="s">
        <v>8</v>
      </c>
      <c r="C11" s="179"/>
      <c r="D11" s="12">
        <f>設定!$I$8</f>
        <v>0</v>
      </c>
      <c r="E11" s="136">
        <f>設定!$I$22</f>
        <v>0</v>
      </c>
      <c r="G11" s="182"/>
      <c r="H11" s="188" t="s">
        <v>42</v>
      </c>
      <c r="I11" s="188"/>
      <c r="J11" s="16">
        <f>J6-SUM(J7:J10)</f>
        <v>7739</v>
      </c>
    </row>
    <row r="12" spans="2:10" ht="25" customHeight="1">
      <c r="B12" s="179" t="s">
        <v>9</v>
      </c>
      <c r="C12" s="179"/>
      <c r="D12" s="12">
        <f>設定!$J$8</f>
        <v>0</v>
      </c>
      <c r="E12" s="136">
        <f>設定!$J$22</f>
        <v>0</v>
      </c>
      <c r="G12" s="189" t="s">
        <v>43</v>
      </c>
      <c r="H12" s="192" t="s">
        <v>44</v>
      </c>
      <c r="I12" s="192"/>
      <c r="J12" s="17">
        <f>⑥!L47*(-1)</f>
        <v>0</v>
      </c>
    </row>
    <row r="13" spans="2:10" ht="25" customHeight="1">
      <c r="B13" s="179" t="s">
        <v>45</v>
      </c>
      <c r="C13" s="179"/>
      <c r="D13" s="12">
        <f>設定!$K$8</f>
        <v>0</v>
      </c>
      <c r="E13" s="137">
        <f>設定!$K$22</f>
        <v>0</v>
      </c>
      <c r="G13" s="190"/>
      <c r="H13" s="193" t="s">
        <v>46</v>
      </c>
      <c r="I13" s="193"/>
      <c r="J13" s="19">
        <f>⑥!L54*(-1)</f>
        <v>0</v>
      </c>
    </row>
    <row r="14" spans="2:10" ht="25" customHeight="1">
      <c r="B14" s="194" t="s">
        <v>47</v>
      </c>
      <c r="C14" s="194"/>
      <c r="D14" s="12">
        <f>設定!$L$8</f>
        <v>0</v>
      </c>
      <c r="E14" s="136">
        <f>設定!$L$22</f>
        <v>0</v>
      </c>
      <c r="G14" s="190"/>
      <c r="H14" s="195" t="s">
        <v>48</v>
      </c>
      <c r="I14" s="195"/>
      <c r="J14" s="21">
        <f>⑥!L61*(-1)</f>
        <v>0</v>
      </c>
    </row>
    <row r="15" spans="2:10" ht="25" customHeight="1">
      <c r="B15" s="196" t="s">
        <v>49</v>
      </c>
      <c r="C15" s="196"/>
      <c r="D15" s="22">
        <f>⑥!K29</f>
        <v>0</v>
      </c>
      <c r="E15" s="205" t="s">
        <v>50</v>
      </c>
      <c r="G15" s="190"/>
      <c r="H15" s="207" t="s">
        <v>51</v>
      </c>
      <c r="I15" s="207"/>
      <c r="J15" s="24">
        <f>⑥!L68*(-1)</f>
        <v>0</v>
      </c>
    </row>
    <row r="16" spans="2:10" ht="25" customHeight="1">
      <c r="B16" s="208" t="s">
        <v>52</v>
      </c>
      <c r="C16" s="208"/>
      <c r="D16" s="25">
        <f>⑥!L40</f>
        <v>0</v>
      </c>
      <c r="E16" s="206"/>
      <c r="G16" s="190"/>
      <c r="H16" s="209" t="s">
        <v>53</v>
      </c>
      <c r="I16" s="209"/>
      <c r="J16" s="26">
        <f>⑥!L75*(-1)</f>
        <v>0</v>
      </c>
    </row>
    <row r="17" spans="2:10" ht="25" customHeight="1">
      <c r="B17" s="210" t="s">
        <v>54</v>
      </c>
      <c r="C17" s="210"/>
      <c r="D17" s="27">
        <f>SUM(D7:D14)-D15+D16</f>
        <v>10269640</v>
      </c>
      <c r="E17" s="28"/>
      <c r="G17" s="191"/>
      <c r="H17" s="211" t="s">
        <v>55</v>
      </c>
      <c r="I17" s="211"/>
      <c r="J17" s="29">
        <f>⑥!L78*(-1)</f>
        <v>0</v>
      </c>
    </row>
    <row r="18" spans="2:10" ht="25" customHeight="1" thickBot="1">
      <c r="B18" s="197" t="s">
        <v>56</v>
      </c>
      <c r="C18" s="197"/>
      <c r="D18" s="30">
        <f ca="1">⑥!K18</f>
        <v>0</v>
      </c>
      <c r="E18" s="23" t="s">
        <v>57</v>
      </c>
      <c r="G18" s="198" t="s">
        <v>58</v>
      </c>
      <c r="H18" s="199"/>
      <c r="I18" s="200"/>
      <c r="J18" s="31"/>
    </row>
    <row r="19" spans="2:10" ht="25" customHeight="1" thickBot="1">
      <c r="B19" s="201" t="s">
        <v>59</v>
      </c>
      <c r="C19" s="202"/>
      <c r="D19" s="32">
        <f ca="1">SUM(D7:D14)+D18</f>
        <v>10269640</v>
      </c>
      <c r="E19" s="33">
        <f>SUM(E7:E15)</f>
        <v>0</v>
      </c>
      <c r="G19" s="203" t="s">
        <v>60</v>
      </c>
      <c r="H19" s="204"/>
      <c r="I19" s="204"/>
      <c r="J19" s="34">
        <f ca="1">D19+SUM(J12:J18)</f>
        <v>10269640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E4F7F851-1502-4989-9661-C4D861B7CC3A}"/>
    <dataValidation imeMode="off" allowBlank="1" showInputMessage="1" showErrorMessage="1" sqref="E7:E8 D18:E21 D7:D17 E10:E15" xr:uid="{955BFFB9-4CD6-484B-BE3C-5E32D0B0FD95}"/>
  </dataValidations>
  <pageMargins left="0.7" right="0.7" top="0.75" bottom="0.75" header="0.3" footer="0.3"/>
  <pageSetup paperSize="9" scale="60"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212F4-E161-4AF1-8F35-AAC0CECEDDEB}">
  <sheetPr codeName="Sheet1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'R6.6'!G2</f>
        <v>2023年6月調剤分</v>
      </c>
      <c r="I1" s="216"/>
      <c r="J1" s="215" t="str">
        <f>'R6.6'!I2</f>
        <v>7月10日請求分</v>
      </c>
      <c r="K1" s="216"/>
      <c r="L1" s="217" t="str">
        <f>'R6.6'!J2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7" priority="1">
      <formula>LEN(TRIM(K8))=0</formula>
    </cfRule>
  </conditionalFormatting>
  <conditionalFormatting sqref="L30:L78">
    <cfRule type="containsBlanks" dxfId="16"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B7444A2-59F2-41FD-BB16-7BC2FA9DA437}"/>
    <dataValidation imeMode="off" allowBlank="1" showInputMessage="1" showErrorMessage="1" sqref="L80 C41:C78 C6:C17 C30:C39 C19:C28 J6:J78 E6:E78" xr:uid="{20450395-A28B-4353-8C1D-97BFC4B1ED77}"/>
    <dataValidation errorStyle="information" imeMode="off" allowBlank="1" showErrorMessage="1" errorTitle="請求割合エラー" error="請求割合は1~10割です。_x000a_1~10の整数で入力して下さい。" sqref="I30:I33 I35:I38 I41:I46 I48:I53 I55:I60 I62:I67 I6:I11 I13:I16 I69:I74 I24:I27 I19:I22" xr:uid="{15277381-268C-4B0C-BDED-681FF3D75FC8}"/>
    <dataValidation type="list" allowBlank="1" sqref="G30:G33 G62:G67 G41:G46 G48:G53 G55:G60 G35:G38 G8:G11 G13:G16 G69:G74 G24:G27 G19:G22" xr:uid="{88A44CB0-4391-44B2-B0FD-4C0758ABFCD5}">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AD3DE-88D7-4F59-A37C-4F76AB34E21D}">
  <sheetPr codeName="Sheet12">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YEAR(設定!$E$1-7*30)&amp;"年7月調剤分"</f>
        <v>2023年7月調剤分</v>
      </c>
      <c r="H2" s="169"/>
      <c r="I2" s="138" t="s">
        <v>121</v>
      </c>
      <c r="J2" s="139" t="str">
        <f>設定!$B$2</f>
        <v>神居３条店</v>
      </c>
    </row>
    <row r="3" spans="2:10" ht="10" customHeight="1" thickBot="1">
      <c r="E3" s="5"/>
      <c r="F3" s="6"/>
      <c r="G3" s="6"/>
      <c r="J3" s="6"/>
    </row>
    <row r="4" spans="2:10" ht="25" customHeight="1" thickBot="1">
      <c r="B4" s="170" t="s">
        <v>30</v>
      </c>
      <c r="C4" s="171"/>
      <c r="D4" s="7">
        <f>設定!$B$9</f>
        <v>4892311</v>
      </c>
      <c r="G4" s="172" t="s">
        <v>31</v>
      </c>
      <c r="H4" s="173"/>
      <c r="I4" s="174"/>
      <c r="J4" s="8">
        <f ca="1">E19-J19</f>
        <v>-4878689</v>
      </c>
    </row>
    <row r="5" spans="2:10" ht="10" customHeight="1"/>
    <row r="6" spans="2:10" s="10" customFormat="1" ht="25" customHeight="1">
      <c r="B6" s="175"/>
      <c r="C6" s="175"/>
      <c r="D6" s="9" t="s">
        <v>32</v>
      </c>
      <c r="E6" s="9" t="s">
        <v>33</v>
      </c>
      <c r="G6" s="176" t="s">
        <v>34</v>
      </c>
      <c r="H6" s="177"/>
      <c r="I6" s="178"/>
      <c r="J6" s="11">
        <f>D17-D4</f>
        <v>-13622</v>
      </c>
    </row>
    <row r="7" spans="2:10" ht="25" customHeight="1">
      <c r="B7" s="179" t="s">
        <v>35</v>
      </c>
      <c r="C7" s="179"/>
      <c r="D7" s="12">
        <f>設定!$E$9</f>
        <v>1638472</v>
      </c>
      <c r="E7" s="13">
        <f>設定!$E$23</f>
        <v>0</v>
      </c>
      <c r="G7" s="180" t="s">
        <v>36</v>
      </c>
      <c r="H7" s="183" t="s">
        <v>37</v>
      </c>
      <c r="I7" s="183"/>
      <c r="J7" s="14"/>
    </row>
    <row r="8" spans="2:10" ht="25" customHeight="1">
      <c r="B8" s="179" t="s">
        <v>5</v>
      </c>
      <c r="C8" s="179"/>
      <c r="D8" s="12">
        <f>設定!$F$9</f>
        <v>3240217</v>
      </c>
      <c r="E8" s="184">
        <f>設定!$F$23</f>
        <v>0</v>
      </c>
      <c r="G8" s="181"/>
      <c r="H8" s="183" t="s">
        <v>38</v>
      </c>
      <c r="I8" s="183"/>
      <c r="J8" s="14"/>
    </row>
    <row r="9" spans="2:10" ht="25" customHeight="1">
      <c r="B9" s="185" t="s">
        <v>39</v>
      </c>
      <c r="C9" s="186"/>
      <c r="D9" s="12">
        <f>設定!$G$9</f>
        <v>0</v>
      </c>
      <c r="E9" s="184">
        <f>設定!$G$8</f>
        <v>0</v>
      </c>
      <c r="G9" s="181"/>
      <c r="H9" s="187" t="s">
        <v>40</v>
      </c>
      <c r="I9" s="187"/>
      <c r="J9" s="15"/>
    </row>
    <row r="10" spans="2:10" ht="25" customHeight="1">
      <c r="B10" s="179" t="s">
        <v>7</v>
      </c>
      <c r="C10" s="179"/>
      <c r="D10" s="12">
        <f>設定!$H$9</f>
        <v>0</v>
      </c>
      <c r="E10" s="13">
        <f>設定!$H$23</f>
        <v>0</v>
      </c>
      <c r="G10" s="181"/>
      <c r="H10" s="187" t="s">
        <v>41</v>
      </c>
      <c r="I10" s="187"/>
      <c r="J10" s="15"/>
    </row>
    <row r="11" spans="2:10" ht="25" customHeight="1">
      <c r="B11" s="179" t="s">
        <v>8</v>
      </c>
      <c r="C11" s="179"/>
      <c r="D11" s="12">
        <f>設定!$I$9</f>
        <v>0</v>
      </c>
      <c r="E11" s="13">
        <f>設定!$I$23</f>
        <v>0</v>
      </c>
      <c r="G11" s="182"/>
      <c r="H11" s="188" t="s">
        <v>42</v>
      </c>
      <c r="I11" s="188"/>
      <c r="J11" s="16">
        <f>J6-SUM(J7:J10)</f>
        <v>-13622</v>
      </c>
    </row>
    <row r="12" spans="2:10" ht="25" customHeight="1">
      <c r="B12" s="179" t="s">
        <v>9</v>
      </c>
      <c r="C12" s="179"/>
      <c r="D12" s="12">
        <f>設定!$J$9</f>
        <v>0</v>
      </c>
      <c r="E12" s="13">
        <f>設定!$J$23</f>
        <v>0</v>
      </c>
      <c r="G12" s="189" t="s">
        <v>43</v>
      </c>
      <c r="H12" s="192" t="s">
        <v>44</v>
      </c>
      <c r="I12" s="192"/>
      <c r="J12" s="17">
        <f>⑦!L47*(-1)</f>
        <v>0</v>
      </c>
    </row>
    <row r="13" spans="2:10" ht="25" customHeight="1">
      <c r="B13" s="179" t="s">
        <v>45</v>
      </c>
      <c r="C13" s="179"/>
      <c r="D13" s="12">
        <f>設定!$K$9</f>
        <v>0</v>
      </c>
      <c r="E13" s="18">
        <f>設定!$K$23</f>
        <v>0</v>
      </c>
      <c r="G13" s="190"/>
      <c r="H13" s="193" t="s">
        <v>46</v>
      </c>
      <c r="I13" s="193"/>
      <c r="J13" s="19">
        <f>⑦!L54*(-1)</f>
        <v>0</v>
      </c>
    </row>
    <row r="14" spans="2:10" ht="25" customHeight="1">
      <c r="B14" s="194" t="s">
        <v>47</v>
      </c>
      <c r="C14" s="194"/>
      <c r="D14" s="12">
        <f>設定!$L$9</f>
        <v>0</v>
      </c>
      <c r="E14" s="13">
        <f>設定!$L$23</f>
        <v>0</v>
      </c>
      <c r="G14" s="190"/>
      <c r="H14" s="195" t="s">
        <v>48</v>
      </c>
      <c r="I14" s="195"/>
      <c r="J14" s="21">
        <f>⑦!L61*(-1)</f>
        <v>0</v>
      </c>
    </row>
    <row r="15" spans="2:10" ht="25" customHeight="1">
      <c r="B15" s="196" t="s">
        <v>49</v>
      </c>
      <c r="C15" s="196"/>
      <c r="D15" s="22">
        <f>⑦!K29</f>
        <v>0</v>
      </c>
      <c r="E15" s="205" t="s">
        <v>50</v>
      </c>
      <c r="G15" s="190"/>
      <c r="H15" s="207" t="s">
        <v>51</v>
      </c>
      <c r="I15" s="207"/>
      <c r="J15" s="24">
        <f>⑦!L68*(-1)</f>
        <v>0</v>
      </c>
    </row>
    <row r="16" spans="2:10" ht="25" customHeight="1">
      <c r="B16" s="208" t="s">
        <v>52</v>
      </c>
      <c r="C16" s="208"/>
      <c r="D16" s="25">
        <f>⑦!L40</f>
        <v>0</v>
      </c>
      <c r="E16" s="206"/>
      <c r="G16" s="190"/>
      <c r="H16" s="209" t="s">
        <v>53</v>
      </c>
      <c r="I16" s="209"/>
      <c r="J16" s="26">
        <f>⑦!L75*(-1)</f>
        <v>0</v>
      </c>
    </row>
    <row r="17" spans="2:10" ht="25" customHeight="1">
      <c r="B17" s="210" t="s">
        <v>54</v>
      </c>
      <c r="C17" s="210"/>
      <c r="D17" s="27">
        <f>SUM(D7:D14)-D15+D16</f>
        <v>4878689</v>
      </c>
      <c r="E17" s="28"/>
      <c r="G17" s="191"/>
      <c r="H17" s="211" t="s">
        <v>55</v>
      </c>
      <c r="I17" s="211"/>
      <c r="J17" s="29">
        <f>⑦!L78*(-1)</f>
        <v>0</v>
      </c>
    </row>
    <row r="18" spans="2:10" ht="25" customHeight="1" thickBot="1">
      <c r="B18" s="197" t="s">
        <v>56</v>
      </c>
      <c r="C18" s="197"/>
      <c r="D18" s="30">
        <f ca="1">⑦!K18</f>
        <v>0</v>
      </c>
      <c r="E18" s="23" t="s">
        <v>57</v>
      </c>
      <c r="G18" s="198" t="s">
        <v>58</v>
      </c>
      <c r="H18" s="199"/>
      <c r="I18" s="200"/>
      <c r="J18" s="31"/>
    </row>
    <row r="19" spans="2:10" ht="25" customHeight="1" thickBot="1">
      <c r="B19" s="201" t="s">
        <v>59</v>
      </c>
      <c r="C19" s="202"/>
      <c r="D19" s="32">
        <f ca="1">SUM(D7:D14)+D18</f>
        <v>4878689</v>
      </c>
      <c r="E19" s="33">
        <f>SUM(E7:E15)</f>
        <v>0</v>
      </c>
      <c r="G19" s="203" t="s">
        <v>60</v>
      </c>
      <c r="H19" s="204"/>
      <c r="I19" s="204"/>
      <c r="J19" s="34">
        <f ca="1">D19+SUM(J12:J18)</f>
        <v>4878689</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9BB2AAC9-3C9F-4A6A-A12D-1BB12A1274C3}"/>
    <dataValidation imeMode="hiragana" allowBlank="1" showInputMessage="1" showErrorMessage="1" sqref="D6:E6 D4:D5 H12:H15 J2:M2 E5:O5 G6:G7 G12 I3:O3 J6:J11 E4:G4 J4:N4 F6:F20 K6:M20 B24:E65523 H20:H65521 C5:C21 B3:B22 A1:A1048576 G22:G65521 F23:F65522 G18:G19 I20:J1048576 K21:O1048576 J18:J19" xr:uid="{9074D5F9-28A8-4049-9558-13597D6E484F}"/>
  </dataValidations>
  <pageMargins left="0.7" right="0.7" top="0.75" bottom="0.75" header="0.3" footer="0.3"/>
  <pageSetup paperSize="9" scale="60"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B58C-50C7-4C0A-B59F-C54E0AD95402}">
  <sheetPr codeName="Sheet1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'R6.7'!G2</f>
        <v>2023年7月調剤分</v>
      </c>
      <c r="I1" s="216"/>
      <c r="J1" s="215" t="str">
        <f>'R6.7'!I2</f>
        <v>8月10日請求分</v>
      </c>
      <c r="K1" s="216"/>
      <c r="L1" s="217" t="str">
        <f>'R6.7'!J2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5" priority="1">
      <formula>LEN(TRIM(K8))=0</formula>
    </cfRule>
  </conditionalFormatting>
  <conditionalFormatting sqref="L30:L78">
    <cfRule type="containsBlanks" dxfId="14" priority="2">
      <formula>LEN(TRIM(L30))=0</formula>
    </cfRule>
  </conditionalFormatting>
  <dataValidations count="4">
    <dataValidation type="list" allowBlank="1" sqref="G30:G33 G62:G67 G41:G46 G48:G53 G55:G60 G35:G38 G8:G11 G13:G16 G69:G74 G24:G27 G19:G22" xr:uid="{0F9D85B0-B435-43B4-BD7D-7CD891989AE9}">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2242232-D069-4B35-AD92-E6D923F51E1A}"/>
    <dataValidation imeMode="off" allowBlank="1" showInputMessage="1" showErrorMessage="1" sqref="L80 C41:C78 C6:C17 C30:C39 C19:C28 J6:J78 E6:E78" xr:uid="{8A5EBF42-A0F7-43C3-B143-CE53D722586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4E71215-0AB5-4BD2-BC0C-FCC721EFF09F}"/>
  </dataValidations>
  <pageMargins left="0.7" right="0.7" top="0.75" bottom="0.75" header="0.3" footer="0.3"/>
  <pageSetup paperSize="9" scale="4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A3FA7-8408-4479-A62B-2282F8EEFF34}">
  <sheetPr codeName="Sheet14">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YEAR(設定!$E$1-6*30)&amp;"年8月調剤分"</f>
        <v>2023年8月調剤分</v>
      </c>
      <c r="H2" s="169"/>
      <c r="I2" s="138" t="s">
        <v>122</v>
      </c>
      <c r="J2" s="139" t="str">
        <f>設定!$B$2</f>
        <v>神居３条店</v>
      </c>
    </row>
    <row r="3" spans="2:10" ht="10" customHeight="1" thickBot="1">
      <c r="E3" s="5"/>
      <c r="F3" s="6"/>
      <c r="G3" s="6"/>
      <c r="J3" s="6"/>
    </row>
    <row r="4" spans="2:10" ht="25" customHeight="1" thickBot="1">
      <c r="B4" s="170" t="s">
        <v>30</v>
      </c>
      <c r="C4" s="171"/>
      <c r="D4" s="7">
        <f>設定!$B$10</f>
        <v>0</v>
      </c>
      <c r="G4" s="172" t="s">
        <v>31</v>
      </c>
      <c r="H4" s="173"/>
      <c r="I4" s="174"/>
      <c r="J4" s="8">
        <f ca="1">E19-J19</f>
        <v>0</v>
      </c>
    </row>
    <row r="5" spans="2:10" ht="10" customHeight="1"/>
    <row r="6" spans="2:10" s="10" customFormat="1" ht="25" customHeight="1">
      <c r="B6" s="175"/>
      <c r="C6" s="175"/>
      <c r="D6" s="9" t="s">
        <v>141</v>
      </c>
      <c r="E6" s="9" t="s">
        <v>142</v>
      </c>
      <c r="G6" s="176" t="s">
        <v>34</v>
      </c>
      <c r="H6" s="177"/>
      <c r="I6" s="178"/>
      <c r="J6" s="11">
        <f>D17-D4</f>
        <v>0</v>
      </c>
    </row>
    <row r="7" spans="2:10" ht="25" customHeight="1">
      <c r="B7" s="179" t="s">
        <v>35</v>
      </c>
      <c r="C7" s="179"/>
      <c r="D7" s="12">
        <f>設定!$E$10</f>
        <v>0</v>
      </c>
      <c r="E7" s="13">
        <f>設定!$E$24</f>
        <v>0</v>
      </c>
      <c r="G7" s="180" t="s">
        <v>36</v>
      </c>
      <c r="H7" s="183" t="s">
        <v>37</v>
      </c>
      <c r="I7" s="183"/>
      <c r="J7" s="14"/>
    </row>
    <row r="8" spans="2:10" ht="25" customHeight="1">
      <c r="B8" s="179" t="s">
        <v>5</v>
      </c>
      <c r="C8" s="179"/>
      <c r="D8" s="12">
        <f>設定!$F$10</f>
        <v>0</v>
      </c>
      <c r="E8" s="184">
        <f>設定!$F$24</f>
        <v>0</v>
      </c>
      <c r="G8" s="181"/>
      <c r="H8" s="183" t="s">
        <v>38</v>
      </c>
      <c r="I8" s="183"/>
      <c r="J8" s="14"/>
    </row>
    <row r="9" spans="2:10" ht="25" customHeight="1">
      <c r="B9" s="185" t="s">
        <v>39</v>
      </c>
      <c r="C9" s="186"/>
      <c r="D9" s="12">
        <f>設定!$G$10</f>
        <v>0</v>
      </c>
      <c r="E9" s="184">
        <f>設定!$G$8</f>
        <v>0</v>
      </c>
      <c r="G9" s="181"/>
      <c r="H9" s="187" t="s">
        <v>40</v>
      </c>
      <c r="I9" s="187"/>
      <c r="J9" s="15"/>
    </row>
    <row r="10" spans="2:10" ht="25" customHeight="1">
      <c r="B10" s="179" t="s">
        <v>7</v>
      </c>
      <c r="C10" s="179"/>
      <c r="D10" s="12">
        <f>設定!$H$10</f>
        <v>0</v>
      </c>
      <c r="E10" s="13">
        <f>設定!$H$24</f>
        <v>0</v>
      </c>
      <c r="G10" s="181"/>
      <c r="H10" s="187" t="s">
        <v>41</v>
      </c>
      <c r="I10" s="187"/>
      <c r="J10" s="15"/>
    </row>
    <row r="11" spans="2:10" ht="25" customHeight="1">
      <c r="B11" s="179" t="s">
        <v>8</v>
      </c>
      <c r="C11" s="179"/>
      <c r="D11" s="12">
        <f>設定!$I$10</f>
        <v>0</v>
      </c>
      <c r="E11" s="13">
        <f>設定!$I$24</f>
        <v>0</v>
      </c>
      <c r="G11" s="182"/>
      <c r="H11" s="188" t="s">
        <v>42</v>
      </c>
      <c r="I11" s="188"/>
      <c r="J11" s="16">
        <f>J6-SUM(J7:J10)</f>
        <v>0</v>
      </c>
    </row>
    <row r="12" spans="2:10" ht="25" customHeight="1">
      <c r="B12" s="179" t="s">
        <v>9</v>
      </c>
      <c r="C12" s="179"/>
      <c r="D12" s="12">
        <f>設定!$J$10</f>
        <v>0</v>
      </c>
      <c r="E12" s="13">
        <f>設定!$J$24</f>
        <v>0</v>
      </c>
      <c r="G12" s="189" t="s">
        <v>43</v>
      </c>
      <c r="H12" s="192" t="s">
        <v>44</v>
      </c>
      <c r="I12" s="192"/>
      <c r="J12" s="17">
        <f>⑧!L47*(-1)</f>
        <v>0</v>
      </c>
    </row>
    <row r="13" spans="2:10" ht="25" customHeight="1">
      <c r="B13" s="179" t="s">
        <v>45</v>
      </c>
      <c r="C13" s="179"/>
      <c r="D13" s="12">
        <f>設定!$K$10</f>
        <v>0</v>
      </c>
      <c r="E13" s="18">
        <f>設定!$K$24</f>
        <v>0</v>
      </c>
      <c r="G13" s="190"/>
      <c r="H13" s="193" t="s">
        <v>46</v>
      </c>
      <c r="I13" s="193"/>
      <c r="J13" s="19">
        <f>⑧!L54*(-1)</f>
        <v>0</v>
      </c>
    </row>
    <row r="14" spans="2:10" ht="25" customHeight="1">
      <c r="B14" s="194" t="s">
        <v>47</v>
      </c>
      <c r="C14" s="194"/>
      <c r="D14" s="12">
        <f>設定!$L$10</f>
        <v>0</v>
      </c>
      <c r="E14" s="136">
        <f>設定!$L$24</f>
        <v>0</v>
      </c>
      <c r="G14" s="190"/>
      <c r="H14" s="195" t="s">
        <v>48</v>
      </c>
      <c r="I14" s="195"/>
      <c r="J14" s="21">
        <f>⑧!L61*(-1)</f>
        <v>0</v>
      </c>
    </row>
    <row r="15" spans="2:10" ht="25" customHeight="1">
      <c r="B15" s="196" t="s">
        <v>49</v>
      </c>
      <c r="C15" s="196"/>
      <c r="D15" s="22">
        <f>⑧!K29</f>
        <v>0</v>
      </c>
      <c r="E15" s="205" t="s">
        <v>50</v>
      </c>
      <c r="G15" s="190"/>
      <c r="H15" s="207" t="s">
        <v>51</v>
      </c>
      <c r="I15" s="207"/>
      <c r="J15" s="24">
        <f>⑧!L68*(-1)</f>
        <v>0</v>
      </c>
    </row>
    <row r="16" spans="2:10" ht="25" customHeight="1">
      <c r="B16" s="208" t="s">
        <v>52</v>
      </c>
      <c r="C16" s="208"/>
      <c r="D16" s="25">
        <f>⑧!L40</f>
        <v>0</v>
      </c>
      <c r="E16" s="206"/>
      <c r="G16" s="190"/>
      <c r="H16" s="209" t="s">
        <v>53</v>
      </c>
      <c r="I16" s="209"/>
      <c r="J16" s="26">
        <f>⑧!L75*(-1)</f>
        <v>0</v>
      </c>
    </row>
    <row r="17" spans="2:10" ht="25" customHeight="1">
      <c r="B17" s="210" t="s">
        <v>54</v>
      </c>
      <c r="C17" s="210"/>
      <c r="D17" s="27">
        <f>SUM(D7:D14)-D15+D16</f>
        <v>0</v>
      </c>
      <c r="E17" s="28"/>
      <c r="G17" s="191"/>
      <c r="H17" s="211" t="s">
        <v>55</v>
      </c>
      <c r="I17" s="211"/>
      <c r="J17" s="29">
        <f>⑧!L78*(-1)</f>
        <v>0</v>
      </c>
    </row>
    <row r="18" spans="2:10" ht="25" customHeight="1" thickBot="1">
      <c r="B18" s="197" t="s">
        <v>56</v>
      </c>
      <c r="C18" s="197"/>
      <c r="D18" s="30">
        <f ca="1">⑧!K18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5BC44D90-AF5B-408E-B610-ED9C3093DEE6}"/>
    <dataValidation imeMode="hiragana" allowBlank="1" showInputMessage="1" showErrorMessage="1" sqref="D6:E6 D4:D5 H12:H15 J2:M2 E5:O5 G6:G7 G12 I3:O3 J6:J11 E4:G4 J4:N4 F6:F20 K6:M20 B24:E65523 H20:H65521 C5:C21 B3:B22 A1:A1048576 G22:G65521 F23:F65522 G18:G19 I20:J1048576 K21:O1048576 J18:J19" xr:uid="{7D229504-6A9E-441C-98F3-950F3D3BCB25}"/>
  </dataValidations>
  <pageMargins left="0.7" right="0.7" top="0.75" bottom="0.75" header="0.3" footer="0.3"/>
  <pageSetup paperSize="9" scale="60"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5D9E2-4484-45BE-89DF-426777D46460}">
  <sheetPr codeName="Sheet1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G19" sqref="G1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'R6.8'!G2</f>
        <v>2023年8月調剤分</v>
      </c>
      <c r="I1" s="216"/>
      <c r="J1" s="215" t="str">
        <f>'R6.8'!I2</f>
        <v>9月10日請求分</v>
      </c>
      <c r="K1" s="216"/>
      <c r="L1" s="217" t="str">
        <f>'R6.8'!J2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3" priority="1">
      <formula>LEN(TRIM(K8))=0</formula>
    </cfRule>
  </conditionalFormatting>
  <conditionalFormatting sqref="L30:L78">
    <cfRule type="containsBlanks" dxfId="12" priority="2">
      <formula>LEN(TRIM(L30))=0</formula>
    </cfRule>
  </conditionalFormatting>
  <dataValidations count="4">
    <dataValidation type="list" allowBlank="1" sqref="G30:G33 G62:G67 G41:G46 G48:G53 G55:G60 G35:G38 G8:G11 G13:G16 G69:G74 G24:G27 G19:G22" xr:uid="{D2E69785-BE1B-4B89-9877-F2C27DF6053A}">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6A7C63DD-72C3-4700-A6CD-983BC6C2FFBB}"/>
    <dataValidation imeMode="off" allowBlank="1" showInputMessage="1" showErrorMessage="1" sqref="L80 C41:C78 C6:C17 C30:C39 C19:C28 J6:J78 E6:E78" xr:uid="{FE24C543-BE0B-4A94-B07C-B34CC4DAE20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C0A9E3B-BF1B-4FAE-A613-CDCFB125535D}"/>
  </dataValidations>
  <pageMargins left="0.7" right="0.7" top="0.75" bottom="0.75" header="0.3" footer="0.3"/>
  <pageSetup paperSize="9" scale="4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9046-BE31-4F23-9B1E-5E19EFAE2F94}">
  <sheetPr codeName="Sheet16">
    <tabColor theme="5" tint="0.59999389629810485"/>
    <pageSetUpPr fitToPage="1"/>
  </sheetPr>
  <dimension ref="A1:L101"/>
  <sheetViews>
    <sheetView showGridLines="0" topLeftCell="A2" zoomScaleNormal="100" zoomScaleSheetLayoutView="74" workbookViewId="0">
      <selection activeCell="D4" sqref="D4:E14"/>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YEAR(設定!$E$1-5*30)&amp;"年9月調剤分"</f>
        <v>2023年9月調剤分</v>
      </c>
      <c r="H2" s="260"/>
      <c r="I2" s="3" t="s">
        <v>123</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⑨!L47*(-1)</f>
        <v>0</v>
      </c>
    </row>
    <row r="13" spans="2:10" ht="25" customHeight="1">
      <c r="B13" s="179" t="s">
        <v>45</v>
      </c>
      <c r="C13" s="179"/>
      <c r="D13" s="12"/>
      <c r="E13" s="18"/>
      <c r="G13" s="190"/>
      <c r="H13" s="193" t="s">
        <v>46</v>
      </c>
      <c r="I13" s="193"/>
      <c r="J13" s="19">
        <f>⑨!L54*(-1)</f>
        <v>0</v>
      </c>
    </row>
    <row r="14" spans="2:10" ht="25" customHeight="1">
      <c r="B14" s="194" t="s">
        <v>47</v>
      </c>
      <c r="C14" s="194"/>
      <c r="D14" s="12"/>
      <c r="E14" s="20"/>
      <c r="G14" s="190"/>
      <c r="H14" s="195" t="s">
        <v>48</v>
      </c>
      <c r="I14" s="195"/>
      <c r="J14" s="21">
        <f>⑨!L61*(-1)</f>
        <v>0</v>
      </c>
    </row>
    <row r="15" spans="2:10" ht="25" customHeight="1">
      <c r="B15" s="196" t="s">
        <v>49</v>
      </c>
      <c r="C15" s="196"/>
      <c r="D15" s="22">
        <f>⑨!K29</f>
        <v>0</v>
      </c>
      <c r="E15" s="205" t="s">
        <v>50</v>
      </c>
      <c r="G15" s="190"/>
      <c r="H15" s="207" t="s">
        <v>51</v>
      </c>
      <c r="I15" s="207"/>
      <c r="J15" s="24">
        <f>⑨!L68*(-1)</f>
        <v>0</v>
      </c>
    </row>
    <row r="16" spans="2:10" ht="25" customHeight="1">
      <c r="B16" s="208" t="s">
        <v>52</v>
      </c>
      <c r="C16" s="208"/>
      <c r="D16" s="25">
        <f>⑨!L40</f>
        <v>0</v>
      </c>
      <c r="E16" s="206"/>
      <c r="G16" s="190"/>
      <c r="H16" s="209" t="s">
        <v>53</v>
      </c>
      <c r="I16" s="209"/>
      <c r="J16" s="26">
        <f>⑨!L75*(-1)</f>
        <v>0</v>
      </c>
    </row>
    <row r="17" spans="2:10" ht="25" customHeight="1">
      <c r="B17" s="210" t="s">
        <v>54</v>
      </c>
      <c r="C17" s="210"/>
      <c r="D17" s="27">
        <f>SUM(D7:D14)-D15+D16</f>
        <v>0</v>
      </c>
      <c r="E17" s="28"/>
      <c r="G17" s="191"/>
      <c r="H17" s="211" t="s">
        <v>55</v>
      </c>
      <c r="I17" s="211"/>
      <c r="J17" s="29">
        <f>⑨!L78*(-1)</f>
        <v>0</v>
      </c>
    </row>
    <row r="18" spans="2:10" ht="25" customHeight="1" thickBot="1">
      <c r="B18" s="197" t="s">
        <v>56</v>
      </c>
      <c r="C18" s="197"/>
      <c r="D18" s="30">
        <f ca="1">⑨!K18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4CDE8258-3172-443E-A535-AE2E345B33A5}"/>
    <dataValidation imeMode="hiragana" allowBlank="1" showInputMessage="1" showErrorMessage="1" sqref="D6:E6 D4:D5 H12:H15 J2:M2 E5:O5 G6:G7 G12 I3:O3 J6:J11 E4:G4 J4:N4 F6:F20 K6:M20 B24:E65523 H20:H65521 C5:C21 B3:B22 A1:A1048576 G22:G65521 F23:F65522 G18:G19 I20:J1048576 K21:O1048576 J18:J19" xr:uid="{FBCF1877-9411-4B4A-9A5F-C97B8A16004D}"/>
  </dataValidations>
  <pageMargins left="0.7" right="0.7" top="0.75" bottom="0.75" header="0.3" footer="0.3"/>
  <pageSetup paperSize="9" scale="60" orientation="portrait"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5A34D-3887-46ED-8840-833F75A59AFC}">
  <sheetPr codeName="Sheet1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'R6.9'!G2</f>
        <v>2023年9月調剤分</v>
      </c>
      <c r="I1" s="216"/>
      <c r="J1" s="215" t="str">
        <f>'R6.9'!I2</f>
        <v>10月10日請求分</v>
      </c>
      <c r="K1" s="216"/>
      <c r="L1" s="217" t="str">
        <f>'R6.9'!J2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1" priority="1">
      <formula>LEN(TRIM(K8))=0</formula>
    </cfRule>
  </conditionalFormatting>
  <conditionalFormatting sqref="L30:L78">
    <cfRule type="containsBlanks" dxfId="10" priority="2">
      <formula>LEN(TRIM(L30))=0</formula>
    </cfRule>
  </conditionalFormatting>
  <dataValidations count="4">
    <dataValidation type="list" allowBlank="1" sqref="G30:G33 G62:G67 G41:G46 G48:G53 G55:G60 G35:G38 G8:G11 G13:G16 G69:G74 G24:G27 G19:G22" xr:uid="{3D3A5377-7B1C-479C-9F25-594702BB1AB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3639F0A-65C3-48A4-B951-467D699A8E57}"/>
    <dataValidation imeMode="off" allowBlank="1" showInputMessage="1" showErrorMessage="1" sqref="L80 C41:C78 C6:C17 C30:C39 C19:C28 J6:J78 E6:E78" xr:uid="{B08132A0-EFBA-4988-87E0-221F6CA6F2FD}"/>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4AF5E47-6333-439F-89E9-AB539F08A2DB}"/>
  </dataValidations>
  <pageMargins left="0.7" right="0.7" top="0.75" bottom="0.75" header="0.3" footer="0.3"/>
  <pageSetup paperSize="9" scale="4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2D3A7-9934-4838-BCBB-4165FBBFCD7E}">
  <sheetPr codeName="Sheet18">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YEAR(設定!$E$1-4*30)&amp;"年10月調剤分"</f>
        <v>2023年10月調剤分</v>
      </c>
      <c r="H2" s="260"/>
      <c r="I2" s="3" t="s">
        <v>124</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⑩!L47*(-1)</f>
        <v>0</v>
      </c>
    </row>
    <row r="13" spans="2:10" ht="25" customHeight="1">
      <c r="B13" s="179" t="s">
        <v>45</v>
      </c>
      <c r="C13" s="179"/>
      <c r="D13" s="12"/>
      <c r="E13" s="18"/>
      <c r="G13" s="190"/>
      <c r="H13" s="193" t="s">
        <v>46</v>
      </c>
      <c r="I13" s="193"/>
      <c r="J13" s="19">
        <f>⑩!L54*(-1)</f>
        <v>0</v>
      </c>
    </row>
    <row r="14" spans="2:10" ht="25" customHeight="1">
      <c r="B14" s="194" t="s">
        <v>47</v>
      </c>
      <c r="C14" s="194"/>
      <c r="D14" s="12"/>
      <c r="E14" s="20"/>
      <c r="G14" s="190"/>
      <c r="H14" s="195" t="s">
        <v>48</v>
      </c>
      <c r="I14" s="195"/>
      <c r="J14" s="21">
        <f>⑩!L61*(-1)</f>
        <v>0</v>
      </c>
    </row>
    <row r="15" spans="2:10" ht="25" customHeight="1">
      <c r="B15" s="196" t="s">
        <v>49</v>
      </c>
      <c r="C15" s="196"/>
      <c r="D15" s="22">
        <f>⑩!K29</f>
        <v>0</v>
      </c>
      <c r="E15" s="205" t="s">
        <v>50</v>
      </c>
      <c r="G15" s="190"/>
      <c r="H15" s="207" t="s">
        <v>51</v>
      </c>
      <c r="I15" s="207"/>
      <c r="J15" s="24">
        <f>⑩!L68*(-1)</f>
        <v>0</v>
      </c>
    </row>
    <row r="16" spans="2:10" ht="25" customHeight="1">
      <c r="B16" s="208" t="s">
        <v>52</v>
      </c>
      <c r="C16" s="208"/>
      <c r="D16" s="25">
        <f>⑩!L40</f>
        <v>0</v>
      </c>
      <c r="E16" s="206"/>
      <c r="G16" s="190"/>
      <c r="H16" s="209" t="s">
        <v>53</v>
      </c>
      <c r="I16" s="209"/>
      <c r="J16" s="26">
        <f>⑩!L75*(-1)</f>
        <v>0</v>
      </c>
    </row>
    <row r="17" spans="2:10" ht="25" customHeight="1">
      <c r="B17" s="210" t="s">
        <v>54</v>
      </c>
      <c r="C17" s="210"/>
      <c r="D17" s="27">
        <f>SUM(D7:D14)-D15+D16</f>
        <v>0</v>
      </c>
      <c r="E17" s="28"/>
      <c r="G17" s="191"/>
      <c r="H17" s="211" t="s">
        <v>55</v>
      </c>
      <c r="I17" s="211"/>
      <c r="J17" s="29">
        <f>⑩!L78*(-1)</f>
        <v>0</v>
      </c>
    </row>
    <row r="18" spans="2:10" ht="25" customHeight="1" thickBot="1">
      <c r="B18" s="197" t="s">
        <v>56</v>
      </c>
      <c r="C18" s="197"/>
      <c r="D18" s="30">
        <f ca="1">⑩!K18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1E0B9765-1FDC-4A06-A7A5-BC673C21884F}"/>
    <dataValidation imeMode="hiragana" allowBlank="1" showInputMessage="1" showErrorMessage="1" sqref="D6:E6 D4:D5 H12:H15 J2:M2 E5:O5 G6:G7 G12 I3:O3 J6:J11 E4:G4 J4:N4 F6:F20 K6:M20 B24:E65523 H20:H65521 C5:C21 B3:B22 A1:A1048576 G22:G65521 F23:F65522 G18:G19 I20:J1048576 K21:O1048576 J18:J19" xr:uid="{1DA0A18A-7FCD-4DE2-A142-4E7F39B89873}"/>
  </dataValidations>
  <pageMargins left="0.7" right="0.7" top="0.75" bottom="0.75" header="0.3" footer="0.3"/>
  <pageSetup paperSize="9" scale="60"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AEA5-B71C-4A0E-B42E-838B90C345EC}">
  <sheetPr codeName="Sheet1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'R6.10'!G2</f>
        <v>2023年10月調剤分</v>
      </c>
      <c r="I1" s="216"/>
      <c r="J1" s="215" t="str">
        <f>'R6.10'!I2</f>
        <v>11月10日請求分</v>
      </c>
      <c r="K1" s="216"/>
      <c r="L1" s="217" t="str">
        <f>'R6.10'!J2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9" priority="1">
      <formula>LEN(TRIM(K8))=0</formula>
    </cfRule>
  </conditionalFormatting>
  <conditionalFormatting sqref="L30:L78">
    <cfRule type="containsBlanks" dxfId="8" priority="2">
      <formula>LEN(TRIM(L30))=0</formula>
    </cfRule>
  </conditionalFormatting>
  <dataValidations count="4">
    <dataValidation type="list" allowBlank="1" sqref="G30:G33 G62:G67 G41:G46 G48:G53 G55:G60 G35:G38 G8:G11 G13:G16 G69:G74 G24:G27 G19:G22" xr:uid="{5BA95C20-7ECD-4BDD-B334-B9888DC5594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A1FF7B7D-9330-4A0A-AEA8-E76D08E70A2C}"/>
    <dataValidation imeMode="off" allowBlank="1" showInputMessage="1" showErrorMessage="1" sqref="L80 C41:C78 C6:C17 C30:C39 C19:C28 J6:J78 E6:E78" xr:uid="{160392D6-7647-42CA-81DC-F8297C8A1A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B560656A-7AA0-475E-A5BC-296ED6FBC803}"/>
  </dataValidations>
  <pageMargins left="0.7" right="0.7" top="0.75" bottom="0.75" header="0.3" footer="0.3"/>
  <pageSetup paperSize="9" scale="4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3FAF-A7E3-44D3-A356-18D84A75C05A}">
  <sheetPr codeName="Sheet20">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YEAR(設定!$E$1-3*30)&amp;"年11月調剤分"</f>
        <v>2023年11月調剤分</v>
      </c>
      <c r="H2" s="260"/>
      <c r="I2" s="3" t="s">
        <v>125</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⑪!L47*(-1)</f>
        <v>0</v>
      </c>
    </row>
    <row r="13" spans="2:10" ht="25" customHeight="1">
      <c r="B13" s="179" t="s">
        <v>45</v>
      </c>
      <c r="C13" s="179"/>
      <c r="D13" s="12"/>
      <c r="E13" s="18"/>
      <c r="G13" s="190"/>
      <c r="H13" s="193" t="s">
        <v>46</v>
      </c>
      <c r="I13" s="193"/>
      <c r="J13" s="19">
        <f>⑪!L54*(-1)</f>
        <v>0</v>
      </c>
    </row>
    <row r="14" spans="2:10" ht="25" customHeight="1">
      <c r="B14" s="194" t="s">
        <v>47</v>
      </c>
      <c r="C14" s="194"/>
      <c r="D14" s="12"/>
      <c r="E14" s="20"/>
      <c r="G14" s="190"/>
      <c r="H14" s="195" t="s">
        <v>48</v>
      </c>
      <c r="I14" s="195"/>
      <c r="J14" s="21">
        <f>⑪!L61*(-1)</f>
        <v>0</v>
      </c>
    </row>
    <row r="15" spans="2:10" ht="25" customHeight="1">
      <c r="B15" s="196" t="s">
        <v>49</v>
      </c>
      <c r="C15" s="196"/>
      <c r="D15" s="22">
        <f>⑪!K29</f>
        <v>0</v>
      </c>
      <c r="E15" s="205" t="s">
        <v>50</v>
      </c>
      <c r="G15" s="190"/>
      <c r="H15" s="207" t="s">
        <v>51</v>
      </c>
      <c r="I15" s="207"/>
      <c r="J15" s="24">
        <f>⑪!L68*(-1)</f>
        <v>0</v>
      </c>
    </row>
    <row r="16" spans="2:10" ht="25" customHeight="1">
      <c r="B16" s="208" t="s">
        <v>52</v>
      </c>
      <c r="C16" s="208"/>
      <c r="D16" s="25">
        <f>⑪!L40</f>
        <v>0</v>
      </c>
      <c r="E16" s="206"/>
      <c r="G16" s="190"/>
      <c r="H16" s="209" t="s">
        <v>53</v>
      </c>
      <c r="I16" s="209"/>
      <c r="J16" s="26">
        <f>⑪!L75*(-1)</f>
        <v>0</v>
      </c>
    </row>
    <row r="17" spans="2:10" ht="25" customHeight="1">
      <c r="B17" s="210" t="s">
        <v>54</v>
      </c>
      <c r="C17" s="210"/>
      <c r="D17" s="27">
        <f>SUM(D7:D14)-D15+D16</f>
        <v>0</v>
      </c>
      <c r="E17" s="28"/>
      <c r="G17" s="191"/>
      <c r="H17" s="211" t="s">
        <v>55</v>
      </c>
      <c r="I17" s="211"/>
      <c r="J17" s="29">
        <f>⑪!L78*(-1)</f>
        <v>0</v>
      </c>
    </row>
    <row r="18" spans="2:10" ht="25" customHeight="1" thickBot="1">
      <c r="B18" s="197" t="s">
        <v>56</v>
      </c>
      <c r="C18" s="197"/>
      <c r="D18" s="30">
        <f ca="1">⑪!K18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11A677E9-38F6-4DF6-895D-368AEA7FFDE6}"/>
    <dataValidation imeMode="hiragana" allowBlank="1" showInputMessage="1" showErrorMessage="1" sqref="D6:E6 D4:D5 H12:H15 J2:M2 E5:O5 G6:G7 G12 I3:O3 J6:J11 E4:G4 J4:N4 F6:F20 K6:M20 B24:E65523 H20:H65521 C5:C21 B3:B22 A1:A1048576 G22:G65521 F23:F65522 G18:G19 I20:J1048576 K21:O1048576 J18:J19" xr:uid="{DD665952-3C16-493D-A02A-F33F227986B4}"/>
  </dataValidations>
  <pageMargins left="0.7" right="0.7" top="0.75" bottom="0.75" header="0.3" footer="0.3"/>
  <pageSetup paperSize="9" scale="60"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8B87-1070-428F-95DC-584BFD8AB0E2}">
  <sheetPr codeName="Sheet2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'R6.11'!G2</f>
        <v>2023年11月調剤分</v>
      </c>
      <c r="I1" s="216"/>
      <c r="J1" s="215" t="str">
        <f>'R6.11'!I2</f>
        <v>12月10日請求分</v>
      </c>
      <c r="K1" s="216"/>
      <c r="L1" s="217" t="str">
        <f>'R6.11'!J2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7" priority="1">
      <formula>LEN(TRIM(K8))=0</formula>
    </cfRule>
  </conditionalFormatting>
  <conditionalFormatting sqref="L30:L78">
    <cfRule type="containsBlanks" dxfId="6" priority="2">
      <formula>LEN(TRIM(L30))=0</formula>
    </cfRule>
  </conditionalFormatting>
  <dataValidations count="4">
    <dataValidation type="list" allowBlank="1" sqref="G30:G33 G62:G67 G41:G46 G48:G53 G55:G60 G35:G38 G8:G11 G13:G16 G69:G74 G24:G27 G19:G22" xr:uid="{22F7C958-EF31-468E-AF9F-69998865F42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3F21904-1329-4027-B3F3-2A6C88522B66}"/>
    <dataValidation imeMode="off" allowBlank="1" showInputMessage="1" showErrorMessage="1" sqref="L80 C41:C78 C6:C17 C30:C39 C19:C28 J6:J78 E6:E78" xr:uid="{8BB78F7F-9230-4AE9-BCA9-37732A078B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29E0417D-738B-4D3D-A18D-76F4BD5DAB5B}"/>
  </dataValidations>
  <pageMargins left="0.7" right="0.7" top="0.75" bottom="0.75" header="0.3" footer="0.3"/>
  <pageSetup paperSize="9" scale="4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9E64-9BC6-465F-B31B-E42F9F3573D3}">
  <sheetPr codeName="Sheet22">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YEAR(設定!$E$1-2*30)&amp;"年12月調剤分"</f>
        <v>2023年12月調剤分</v>
      </c>
      <c r="H2" s="260"/>
      <c r="I2" s="3" t="s">
        <v>126</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⑫!L47*(-1)</f>
        <v>0</v>
      </c>
    </row>
    <row r="13" spans="2:10" ht="25" customHeight="1">
      <c r="B13" s="179" t="s">
        <v>45</v>
      </c>
      <c r="C13" s="179"/>
      <c r="D13" s="12"/>
      <c r="E13" s="18"/>
      <c r="G13" s="190"/>
      <c r="H13" s="193" t="s">
        <v>46</v>
      </c>
      <c r="I13" s="193"/>
      <c r="J13" s="19">
        <f>⑫!L54*(-1)</f>
        <v>0</v>
      </c>
    </row>
    <row r="14" spans="2:10" ht="25" customHeight="1">
      <c r="B14" s="194" t="s">
        <v>47</v>
      </c>
      <c r="C14" s="194"/>
      <c r="D14" s="12"/>
      <c r="E14" s="20"/>
      <c r="G14" s="190"/>
      <c r="H14" s="195" t="s">
        <v>48</v>
      </c>
      <c r="I14" s="195"/>
      <c r="J14" s="21">
        <f>⑫!L61*(-1)</f>
        <v>0</v>
      </c>
    </row>
    <row r="15" spans="2:10" ht="25" customHeight="1">
      <c r="B15" s="196" t="s">
        <v>49</v>
      </c>
      <c r="C15" s="196"/>
      <c r="D15" s="22">
        <f>⑫!K29</f>
        <v>0</v>
      </c>
      <c r="E15" s="205" t="s">
        <v>50</v>
      </c>
      <c r="G15" s="190"/>
      <c r="H15" s="207" t="s">
        <v>51</v>
      </c>
      <c r="I15" s="207"/>
      <c r="J15" s="24">
        <f>⑫!L68*(-1)</f>
        <v>0</v>
      </c>
    </row>
    <row r="16" spans="2:10" ht="25" customHeight="1">
      <c r="B16" s="208" t="s">
        <v>52</v>
      </c>
      <c r="C16" s="208"/>
      <c r="D16" s="25">
        <f>⑫!L40</f>
        <v>0</v>
      </c>
      <c r="E16" s="206"/>
      <c r="G16" s="190"/>
      <c r="H16" s="209" t="s">
        <v>53</v>
      </c>
      <c r="I16" s="209"/>
      <c r="J16" s="26">
        <f>⑫!L75*(-1)</f>
        <v>0</v>
      </c>
    </row>
    <row r="17" spans="2:10" ht="25" customHeight="1">
      <c r="B17" s="210" t="s">
        <v>54</v>
      </c>
      <c r="C17" s="210"/>
      <c r="D17" s="27">
        <f>SUM(D7:D14)-D15+D16</f>
        <v>0</v>
      </c>
      <c r="E17" s="28"/>
      <c r="G17" s="191"/>
      <c r="H17" s="211" t="s">
        <v>55</v>
      </c>
      <c r="I17" s="211"/>
      <c r="J17" s="29">
        <f>⑫!L78*(-1)</f>
        <v>0</v>
      </c>
    </row>
    <row r="18" spans="2:10" ht="25" customHeight="1" thickBot="1">
      <c r="B18" s="197" t="s">
        <v>56</v>
      </c>
      <c r="C18" s="197"/>
      <c r="D18" s="30">
        <f ca="1">⑫!K18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8166BD6A-1D1F-4323-AE6C-A71C26A7A7DB}"/>
    <dataValidation imeMode="hiragana" allowBlank="1" showInputMessage="1" showErrorMessage="1" sqref="D6:E6 D4:D5 H12:H15 J2:M2 E5:O5 G6:G7 G12 I3:O3 J6:J11 E4:G4 J4:N4 F6:F20 K6:M20 B24:E65523 H20:H65521 C5:C21 B3:B22 A1:A1048576 G22:G65521 F23:F65522 G18:G19 I20:J1048576 K21:O1048576 J18:J19" xr:uid="{EAC1ADF5-CCF1-4092-8079-C700B30AFAF7}"/>
  </dataValidations>
  <pageMargins left="0.7" right="0.7" top="0.75" bottom="0.75" header="0.3" footer="0.3"/>
  <pageSetup paperSize="9" scale="60" orientation="portrait"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C894-F8C6-483F-98EA-17A52C326AAA}">
  <sheetPr codeName="Sheet2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'R6.12'!G2</f>
        <v>2023年12月調剤分</v>
      </c>
      <c r="I1" s="216"/>
      <c r="J1" s="215" t="str">
        <f>'R6.12'!I2</f>
        <v>1月10日請求分</v>
      </c>
      <c r="K1" s="216"/>
      <c r="L1" s="217" t="str">
        <f>'R6.12'!J2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5" priority="1">
      <formula>LEN(TRIM(K8))=0</formula>
    </cfRule>
  </conditionalFormatting>
  <conditionalFormatting sqref="L30:L78">
    <cfRule type="containsBlanks" dxfId="4" priority="2">
      <formula>LEN(TRIM(L30))=0</formula>
    </cfRule>
  </conditionalFormatting>
  <dataValidations count="4">
    <dataValidation type="list" allowBlank="1" sqref="G30:G33 G62:G67 G41:G46 G48:G53 G55:G60 G35:G38 G8:G11 G13:G16 G69:G74 G24:G27 G19:G22" xr:uid="{ED1329FA-5D85-448C-85E8-41314D12B4A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3DF5DE5-5F88-4EFD-9977-E61B5D5F7F51}"/>
    <dataValidation imeMode="off" allowBlank="1" showInputMessage="1" showErrorMessage="1" sqref="L80 C41:C78 C6:C17 C30:C39 C19:C28 J6:J78 E6:E78" xr:uid="{6263E422-025C-4284-B846-A09FD7A943E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E954E575-E398-48AE-A215-09E725AA8F7C}"/>
  </dataValidations>
  <pageMargins left="0.7" right="0.7" top="0.75" bottom="0.75" header="0.3" footer="0.3"/>
  <pageSetup paperSize="9" scale="4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1F49-3D71-4F1A-A4C1-BC449D1E37BF}">
  <sheetPr codeName="Sheet24">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YEAR(設定!$E$1-1*30)&amp;"年1月調剤分"</f>
        <v>2024年1月調剤分</v>
      </c>
      <c r="H2" s="260"/>
      <c r="I2" s="3" t="s">
        <v>127</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①!L47*(-1)</f>
        <v>0</v>
      </c>
    </row>
    <row r="13" spans="2:10" ht="25" customHeight="1">
      <c r="B13" s="179" t="s">
        <v>45</v>
      </c>
      <c r="C13" s="179"/>
      <c r="D13" s="12"/>
      <c r="E13" s="18"/>
      <c r="G13" s="190"/>
      <c r="H13" s="193" t="s">
        <v>46</v>
      </c>
      <c r="I13" s="193"/>
      <c r="J13" s="19">
        <f>①!L54*(-1)</f>
        <v>0</v>
      </c>
    </row>
    <row r="14" spans="2:10" ht="25" customHeight="1">
      <c r="B14" s="194" t="s">
        <v>47</v>
      </c>
      <c r="C14" s="194"/>
      <c r="D14" s="12"/>
      <c r="E14" s="20"/>
      <c r="G14" s="190"/>
      <c r="H14" s="195" t="s">
        <v>48</v>
      </c>
      <c r="I14" s="195"/>
      <c r="J14" s="21">
        <f>①!L61*(-1)</f>
        <v>0</v>
      </c>
    </row>
    <row r="15" spans="2:10" ht="25" customHeight="1">
      <c r="B15" s="196" t="s">
        <v>49</v>
      </c>
      <c r="C15" s="196"/>
      <c r="D15" s="22">
        <f>①!K29</f>
        <v>0</v>
      </c>
      <c r="E15" s="205" t="s">
        <v>50</v>
      </c>
      <c r="G15" s="190"/>
      <c r="H15" s="207" t="s">
        <v>51</v>
      </c>
      <c r="I15" s="207"/>
      <c r="J15" s="24">
        <f>①!L68*(-1)</f>
        <v>0</v>
      </c>
    </row>
    <row r="16" spans="2:10" ht="25" customHeight="1">
      <c r="B16" s="208" t="s">
        <v>52</v>
      </c>
      <c r="C16" s="208"/>
      <c r="D16" s="25">
        <f>①!L40</f>
        <v>0</v>
      </c>
      <c r="E16" s="206"/>
      <c r="G16" s="190"/>
      <c r="H16" s="209" t="s">
        <v>53</v>
      </c>
      <c r="I16" s="209"/>
      <c r="J16" s="26">
        <f>①!L75*(-1)</f>
        <v>0</v>
      </c>
    </row>
    <row r="17" spans="2:10" ht="25" customHeight="1">
      <c r="B17" s="210" t="s">
        <v>54</v>
      </c>
      <c r="C17" s="210"/>
      <c r="D17" s="27">
        <f>SUM(D7:D14)-D15+D16</f>
        <v>0</v>
      </c>
      <c r="E17" s="28"/>
      <c r="G17" s="191"/>
      <c r="H17" s="211" t="s">
        <v>55</v>
      </c>
      <c r="I17" s="211"/>
      <c r="J17" s="29">
        <f>①!L78*(-1)</f>
        <v>0</v>
      </c>
    </row>
    <row r="18" spans="2:10" ht="25" customHeight="1" thickBot="1">
      <c r="B18" s="197" t="s">
        <v>56</v>
      </c>
      <c r="C18" s="197"/>
      <c r="D18" s="30">
        <f ca="1">①!K18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BD0613E4-722D-4929-B542-FB943D9A5F1A}"/>
    <dataValidation imeMode="off" allowBlank="1" showInputMessage="1" showErrorMessage="1" sqref="E7:E8 D18:E21 D7:D17 E10:E15" xr:uid="{BCB6F765-324C-403F-95FB-FAB272C3D82E}"/>
  </dataValidations>
  <pageMargins left="0.7" right="0.7" top="0.75" bottom="0.75" header="0.3" footer="0.3"/>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59FAA-012B-4F4C-AFFE-12EBD57089CC}">
  <sheetPr codeName="Sheet2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'R7.1'!G2</f>
        <v>2024年1月調剤分</v>
      </c>
      <c r="I1" s="216"/>
      <c r="J1" s="215" t="str">
        <f>'R7.1'!I2</f>
        <v>2月10日請求分</v>
      </c>
      <c r="K1" s="216"/>
      <c r="L1" s="217" t="str">
        <f>'R7.1'!J2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3" priority="1">
      <formula>LEN(TRIM(K8))=0</formula>
    </cfRule>
  </conditionalFormatting>
  <conditionalFormatting sqref="L30:L78">
    <cfRule type="containsBlanks" dxfId="2"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67B19C6E-8621-404A-8341-08CE739C46D4}"/>
    <dataValidation imeMode="off" allowBlank="1" showInputMessage="1" showErrorMessage="1" sqref="L80 C41:C78 C6:C17 C30:C39 C19:C28 J6:J78 E6:E78" xr:uid="{CE54BA99-1172-4831-B0AB-816BE4F0AF67}"/>
    <dataValidation errorStyle="information" imeMode="off" allowBlank="1" showErrorMessage="1" errorTitle="請求割合エラー" error="請求割合は1~10割です。_x000a_1~10の整数で入力して下さい。" sqref="I30:I33 I35:I38 I41:I46 I48:I53 I55:I60 I62:I67 I6:I11 I13:I16 I69:I74 I24:I27 I19:I22" xr:uid="{9E2E9C5B-AADB-4C90-9CB0-B23BE1CAA8AE}"/>
    <dataValidation type="list" allowBlank="1" sqref="G30:G33 G62:G67 G41:G46 G48:G53 G55:G60 G35:G38 G8:G11 G13:G16 G69:G74 G24:G27 G19:G22" xr:uid="{CEBAE02D-CA23-44AD-9FC6-8FC5F0A895D1}">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4C98-8102-4E6B-A8DA-4B9FB3C24E66}">
  <sheetPr codeName="Sheet26">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YEAR(設定!$E$1-0*30)&amp;"年2月調剤分"</f>
        <v>2024年2月調剤分</v>
      </c>
      <c r="H2" s="260"/>
      <c r="I2" s="3" t="s">
        <v>128</v>
      </c>
      <c r="J2" s="4" t="str">
        <f>設定!$B$2</f>
        <v>神居３条店</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②!L47*(-1)</f>
        <v>0</v>
      </c>
    </row>
    <row r="13" spans="2:10" ht="25" customHeight="1">
      <c r="B13" s="179" t="s">
        <v>45</v>
      </c>
      <c r="C13" s="179"/>
      <c r="D13" s="12"/>
      <c r="E13" s="18"/>
      <c r="G13" s="190"/>
      <c r="H13" s="193" t="s">
        <v>46</v>
      </c>
      <c r="I13" s="193"/>
      <c r="J13" s="19">
        <f>②!L54*(-1)</f>
        <v>0</v>
      </c>
    </row>
    <row r="14" spans="2:10" ht="25" customHeight="1">
      <c r="B14" s="194" t="s">
        <v>47</v>
      </c>
      <c r="C14" s="194"/>
      <c r="D14" s="12"/>
      <c r="E14" s="20"/>
      <c r="G14" s="190"/>
      <c r="H14" s="195" t="s">
        <v>48</v>
      </c>
      <c r="I14" s="195"/>
      <c r="J14" s="21">
        <f>②!L61*(-1)</f>
        <v>0</v>
      </c>
    </row>
    <row r="15" spans="2:10" ht="25" customHeight="1">
      <c r="B15" s="196" t="s">
        <v>49</v>
      </c>
      <c r="C15" s="196"/>
      <c r="D15" s="22">
        <f>②!K29</f>
        <v>0</v>
      </c>
      <c r="E15" s="205" t="s">
        <v>50</v>
      </c>
      <c r="G15" s="190"/>
      <c r="H15" s="207" t="s">
        <v>51</v>
      </c>
      <c r="I15" s="207"/>
      <c r="J15" s="24">
        <f>②!L68*(-1)</f>
        <v>0</v>
      </c>
    </row>
    <row r="16" spans="2:10" ht="25" customHeight="1">
      <c r="B16" s="208" t="s">
        <v>52</v>
      </c>
      <c r="C16" s="208"/>
      <c r="D16" s="25">
        <f>②!L40</f>
        <v>0</v>
      </c>
      <c r="E16" s="206"/>
      <c r="G16" s="190"/>
      <c r="H16" s="209" t="s">
        <v>53</v>
      </c>
      <c r="I16" s="209"/>
      <c r="J16" s="26">
        <f>②!L75*(-1)</f>
        <v>0</v>
      </c>
    </row>
    <row r="17" spans="2:10" ht="25" customHeight="1">
      <c r="B17" s="210" t="s">
        <v>54</v>
      </c>
      <c r="C17" s="210"/>
      <c r="D17" s="27">
        <f>SUM(D7:D14)-D15+D16</f>
        <v>0</v>
      </c>
      <c r="E17" s="28"/>
      <c r="G17" s="191"/>
      <c r="H17" s="211" t="s">
        <v>55</v>
      </c>
      <c r="I17" s="211"/>
      <c r="J17" s="29">
        <f>②!L78*(-1)</f>
        <v>0</v>
      </c>
    </row>
    <row r="18" spans="2:10" ht="25" customHeight="1" thickBot="1">
      <c r="B18" s="197" t="s">
        <v>56</v>
      </c>
      <c r="C18" s="197"/>
      <c r="D18" s="30">
        <f ca="1">②!K18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BAF25D1E-F02A-4013-A7D0-6E98DC85260A}"/>
    <dataValidation imeMode="hiragana" allowBlank="1" showInputMessage="1" showErrorMessage="1" sqref="D6:E6 D4:D5 H12:H15 J2:M2 E5:O5 G6:G7 G12 I3:O3 J6:J11 E4:G4 J4:N4 F6:F20 K6:M20 B24:E65523 H20:H65521 C5:C21 B3:B22 A1:A1048576 G22:G65521 F23:F65522 G18:G19 I20:J1048576 K21:O1048576 J18:J19" xr:uid="{8419605E-902E-42E8-8383-F2D4CB8EE304}"/>
  </dataValidations>
  <pageMargins left="0.7" right="0.7" top="0.75" bottom="0.75" header="0.3" footer="0.3"/>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7D09D-4B78-4B9F-AA11-C0491A4EBAD6}">
  <sheetPr codeName="Sheet2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'R7.2'!G2</f>
        <v>2024年2月調剤分</v>
      </c>
      <c r="I1" s="216"/>
      <c r="J1" s="215" t="str">
        <f>'R7.2'!I2</f>
        <v>3月10日請求分</v>
      </c>
      <c r="K1" s="216"/>
      <c r="L1" s="217" t="str">
        <f>'R7.2'!J2</f>
        <v>神居３条店</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9CA8DF90-0A71-4FC3-A4A6-915A8FCFAB6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138599B8-20D3-4141-8817-FEF940C625CE}"/>
    <dataValidation imeMode="off" allowBlank="1" showInputMessage="1" showErrorMessage="1" sqref="L80 C41:C78 C6:C17 C30:C39 C19:C28 J6:J78 E6:E78" xr:uid="{66ABE156-F1D2-4479-B670-10D0AD35F1B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E94A354-0903-401A-8057-1C0D6A2C8003}"/>
  </dataValidations>
  <pageMargins left="0.7" right="0.7" top="0.75" bottom="0.75" header="0.3" footer="0.3"/>
  <pageSetup paperSize="9" scale="4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23D6-1ABB-4846-A0A0-3A16FA50358E}">
  <sheetPr codeName="Sheet28"/>
  <dimension ref="B2:E16"/>
  <sheetViews>
    <sheetView workbookViewId="0">
      <selection activeCell="D18" sqref="D18"/>
    </sheetView>
  </sheetViews>
  <sheetFormatPr baseColWidth="10" defaultColWidth="8.83203125" defaultRowHeight="14"/>
  <sheetData>
    <row r="2" spans="2:5">
      <c r="B2" t="s">
        <v>129</v>
      </c>
    </row>
    <row r="4" spans="2:5">
      <c r="B4" s="44" t="s">
        <v>130</v>
      </c>
    </row>
    <row r="5" spans="2:5">
      <c r="B5" s="44" t="s">
        <v>131</v>
      </c>
      <c r="C5" s="44"/>
    </row>
    <row r="6" spans="2:5">
      <c r="B6" s="44" t="s">
        <v>132</v>
      </c>
      <c r="C6" s="44"/>
    </row>
    <row r="7" spans="2:5">
      <c r="B7" s="44" t="s">
        <v>133</v>
      </c>
      <c r="C7" s="44"/>
    </row>
    <row r="8" spans="2:5">
      <c r="B8" s="44" t="s">
        <v>134</v>
      </c>
      <c r="C8" s="44"/>
      <c r="E8" s="135"/>
    </row>
    <row r="9" spans="2:5">
      <c r="B9" s="44" t="s">
        <v>135</v>
      </c>
      <c r="C9" s="44"/>
    </row>
    <row r="10" spans="2:5">
      <c r="B10" s="44" t="s">
        <v>136</v>
      </c>
      <c r="C10" s="44"/>
    </row>
    <row r="11" spans="2:5">
      <c r="B11" s="135" t="s">
        <v>137</v>
      </c>
    </row>
    <row r="12" spans="2:5">
      <c r="B12" s="135" t="s">
        <v>138</v>
      </c>
    </row>
    <row r="13" spans="2:5">
      <c r="B13" s="135" t="s">
        <v>139</v>
      </c>
    </row>
    <row r="14" spans="2:5">
      <c r="B14" s="135" t="s">
        <v>140</v>
      </c>
    </row>
    <row r="15" spans="2:5">
      <c r="B15" s="44"/>
    </row>
    <row r="16" spans="2:5">
      <c r="B16" s="44"/>
    </row>
  </sheetData>
  <phoneticPr fontId="3"/>
  <dataValidations count="1">
    <dataValidation imeMode="hiragana" allowBlank="1" showInputMessage="1" showErrorMessage="1" sqref="B16 B4 B5:C10" xr:uid="{1AE5B114-8C2B-4BFB-8E34-C6BD959A92A3}"/>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28</vt:i4>
      </vt:variant>
      <vt:variant>
        <vt:lpstr>名前付き一覧</vt:lpstr>
      </vt:variant>
      <vt:variant>
        <vt:i4>25</vt:i4>
      </vt:variant>
    </vt:vector>
  </HeadingPairs>
  <TitlesOfParts>
    <vt:vector size="53" baseType="lpstr">
      <vt:lpstr>設定</vt:lpstr>
      <vt:lpstr>返戻管理</vt:lpstr>
      <vt:lpstr>入力訂正</vt:lpstr>
      <vt:lpstr>R6.3</vt:lpstr>
      <vt:lpstr>③</vt:lpstr>
      <vt:lpstr>R6.4</vt:lpstr>
      <vt:lpstr>④</vt:lpstr>
      <vt:lpstr>R6.5</vt:lpstr>
      <vt:lpstr>⑤</vt:lpstr>
      <vt:lpstr>R6.6</vt:lpstr>
      <vt:lpstr>⑥</vt:lpstr>
      <vt:lpstr>R6.7</vt:lpstr>
      <vt:lpstr>⑦</vt:lpstr>
      <vt:lpstr>R6.8</vt:lpstr>
      <vt:lpstr>⑧</vt:lpstr>
      <vt:lpstr>R6.9</vt:lpstr>
      <vt:lpstr>⑨</vt:lpstr>
      <vt:lpstr>R6.10</vt:lpstr>
      <vt:lpstr>⑩</vt:lpstr>
      <vt:lpstr>R6.11</vt:lpstr>
      <vt:lpstr>⑪</vt:lpstr>
      <vt:lpstr>R6.12</vt:lpstr>
      <vt:lpstr>⑫</vt:lpstr>
      <vt:lpstr>R7.1</vt:lpstr>
      <vt:lpstr>①</vt:lpstr>
      <vt:lpstr>R7.2</vt:lpstr>
      <vt:lpstr>②</vt:lpstr>
      <vt:lpstr>名前の定義用</vt:lpstr>
      <vt:lpstr>R6.10!Print_Area</vt:lpstr>
      <vt:lpstr>R6.11!Print_Area</vt:lpstr>
      <vt:lpstr>R6.12!Print_Area</vt:lpstr>
      <vt:lpstr>R6.3!Print_Area</vt:lpstr>
      <vt:lpstr>R6.4!Print_Area</vt:lpstr>
      <vt:lpstr>R6.5!Print_Area</vt:lpstr>
      <vt:lpstr>R6.6!Print_Area</vt:lpstr>
      <vt:lpstr>R6.7!Print_Area</vt:lpstr>
      <vt:lpstr>R6.8!Print_Area</vt:lpstr>
      <vt:lpstr>R6.9!Print_Area</vt:lpstr>
      <vt:lpstr>R7.1!Print_Area</vt:lpstr>
      <vt:lpstr>R7.2!Print_Area</vt:lpstr>
      <vt:lpstr>①!Print_Titles</vt:lpstr>
      <vt:lpstr>⑩!Print_Titles</vt:lpstr>
      <vt:lpstr>⑪!Print_Titles</vt:lpstr>
      <vt:lpstr>⑫!Print_Titles</vt:lpstr>
      <vt:lpstr>②!Print_Titles</vt:lpstr>
      <vt:lpstr>③!Print_Titles</vt:lpstr>
      <vt:lpstr>④!Print_Titles</vt:lpstr>
      <vt:lpstr>⑤!Print_Titles</vt:lpstr>
      <vt:lpstr>⑥!Print_Titles</vt:lpstr>
      <vt:lpstr>⑦!Print_Titles</vt:lpstr>
      <vt:lpstr>⑧!Print_Titles</vt:lpstr>
      <vt:lpstr>⑨!Print_Titles</vt:lpstr>
      <vt:lpstr>返戻・未請求扱い</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禎浩 関根</dc:creator>
  <cp:lastModifiedBy>関根禎浩</cp:lastModifiedBy>
  <dcterms:created xsi:type="dcterms:W3CDTF">2024-08-29T18:24:19Z</dcterms:created>
  <dcterms:modified xsi:type="dcterms:W3CDTF">2024-10-20T22:59:47Z</dcterms:modified>
</cp:coreProperties>
</file>